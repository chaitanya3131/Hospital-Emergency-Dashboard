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1567" documentId="8_{DCE71998-B118-4E83-8EE6-DB9F7A9E7DF7}" xr6:coauthVersionLast="47" xr6:coauthVersionMax="47" xr10:uidLastSave="{5485C8F9-BF14-4900-BD8B-A61B0A2F659F}"/>
  <bookViews>
    <workbookView xWindow="-108" yWindow="-108" windowWidth="23256" windowHeight="12456" activeTab="1" xr2:uid="{8B12289D-B3CE-4974-A58A-D417D3D87DEF}"/>
  </bookViews>
  <sheets>
    <sheet name="Pivot Report" sheetId="1" r:id="rId1"/>
    <sheet name="Dashboard" sheetId="2" r:id="rId2"/>
    <sheet name="Daily Patient Number" sheetId="3" r:id="rId3"/>
    <sheet name="Average WaitTime Trend Per Day" sheetId="4" r:id="rId4"/>
    <sheet name="Satisfaction Score" sheetId="6" r:id="rId5"/>
  </sheets>
  <definedNames>
    <definedName name="Slicer_Date__Month">#N/A</definedName>
    <definedName name="Slicer_Date_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1" l="1"/>
  <c r="J31" i="1"/>
  <c r="I30" i="1"/>
  <c r="J30" i="1"/>
  <c r="H31" i="1"/>
  <c r="H3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<sst xmlns="http://schemas.openxmlformats.org/spreadsheetml/2006/main" count="93" uniqueCount="47">
  <si>
    <t>Count of Patient Id</t>
  </si>
  <si>
    <t>Average of Patient Waittime</t>
  </si>
  <si>
    <t>Average of Patient Satisfaction Score</t>
  </si>
  <si>
    <t>Grand Total</t>
  </si>
  <si>
    <t>Row Labels</t>
  </si>
  <si>
    <t>Jun</t>
  </si>
  <si>
    <t>Admitted</t>
  </si>
  <si>
    <t>Not Admitted</t>
  </si>
  <si>
    <t>Count of Patient Admission Flag</t>
  </si>
  <si>
    <t>Percentage</t>
  </si>
  <si>
    <t>Admission Status</t>
  </si>
  <si>
    <t>%Status</t>
  </si>
  <si>
    <t>Number of Patients</t>
  </si>
  <si>
    <t>0-09</t>
  </si>
  <si>
    <t>10-19</t>
  </si>
  <si>
    <t>20-29</t>
  </si>
  <si>
    <t>30-39</t>
  </si>
  <si>
    <t>40-49</t>
  </si>
  <si>
    <t>50-59</t>
  </si>
  <si>
    <t>60-69</t>
  </si>
  <si>
    <t>70-79</t>
  </si>
  <si>
    <t>Count of Age Groups</t>
  </si>
  <si>
    <t>Delay</t>
  </si>
  <si>
    <t>Ontime</t>
  </si>
  <si>
    <t>Female</t>
  </si>
  <si>
    <t>Male</t>
  </si>
  <si>
    <t>Cardiology</t>
  </si>
  <si>
    <t>Gastroenterology</t>
  </si>
  <si>
    <t>General Practice</t>
  </si>
  <si>
    <t>Neurology</t>
  </si>
  <si>
    <t>None</t>
  </si>
  <si>
    <t>Orthopedics</t>
  </si>
  <si>
    <t>Physiotherapy</t>
  </si>
  <si>
    <t>Renal</t>
  </si>
  <si>
    <t>Jan</t>
  </si>
  <si>
    <t>Mar</t>
  </si>
  <si>
    <t>Feb</t>
  </si>
  <si>
    <t>Apr</t>
  </si>
  <si>
    <t>May</t>
  </si>
  <si>
    <t>Jul</t>
  </si>
  <si>
    <t>Aug</t>
  </si>
  <si>
    <t>Sep</t>
  </si>
  <si>
    <t>Oct</t>
  </si>
  <si>
    <t>Nov</t>
  </si>
  <si>
    <t>Dec</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</si>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</sst>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0"/>
      <color rgb="FF000000"/>
      <name val="Arial Black"/>
      <family val="2"/>
    </font>
  </fonts>
  <fills count="6">
    <fill>
      <patternFill patternType="none"/>
    </fill>
    <fill>
      <patternFill patternType="gray125"/>
    </fill>
    <fill>
      <patternFill patternType="solid">
        <fgColor theme="1"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0" fontId="0" fillId="2" borderId="0" xfId="0" applyFill="1"/>
    <xf numFmtId="0" fontId="0" fillId="0" borderId="0" xfId="0" pivotButton="1"/>
    <xf numFmtId="0" fontId="0" fillId="0" borderId="0" xfId="0" applyAlignment="1">
      <alignment horizontal="left"/>
    </xf>
    <xf numFmtId="0" fontId="0" fillId="3" borderId="0" xfId="0" applyFill="1"/>
    <xf numFmtId="2" fontId="0" fillId="0" borderId="0" xfId="0" applyNumberFormat="1"/>
    <xf numFmtId="0" fontId="0" fillId="4" borderId="0" xfId="0" applyFill="1"/>
    <xf numFmtId="10" fontId="0" fillId="0" borderId="0" xfId="0" applyNumberFormat="1"/>
    <xf numFmtId="0" fontId="0" fillId="5" borderId="0" xfId="0" applyFill="1" applyAlignment="1">
      <alignment horizontal="left"/>
    </xf>
    <xf numFmtId="0" fontId="0" fillId="5" borderId="0" xfId="0" applyFill="1"/>
    <xf numFmtId="9" fontId="0" fillId="5" borderId="0" xfId="1" applyFont="1" applyFill="1"/>
    <xf numFmtId="0" fontId="2" fillId="0" borderId="0" xfId="0" applyFont="1" applyAlignment="1">
      <alignment horizontal="center" vertical="center"/>
    </xf>
    <xf numFmtId="1" fontId="0" fillId="0" borderId="0" xfId="0" applyNumberFormat="1"/>
  </cellXfs>
  <cellStyles count="2">
    <cellStyle name="Normal" xfId="0" builtinId="0"/>
    <cellStyle name="Percent" xfId="1" builtinId="5"/>
  </cellStyles>
  <dxfs count="16">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1" formatCode="0"/>
    </dxf>
    <dxf>
      <numFmt numFmtId="2" formatCode="0.00"/>
    </dxf>
    <dxf>
      <numFmt numFmtId="14" formatCode="0.00%"/>
    </dxf>
    <dxf>
      <numFmt numFmtId="2" formatCode="0.00"/>
    </dxf>
    <dxf>
      <numFmt numFmtId="1" formatCode="0"/>
    </dxf>
    <dxf>
      <numFmt numFmtId="2" formatCode="0.00"/>
    </dxf>
    <dxf>
      <numFmt numFmtId="2" formatCode="0.00"/>
    </dxf>
    <dxf>
      <font>
        <b/>
        <color theme="1"/>
      </font>
      <border>
        <bottom style="thin">
          <color theme="4"/>
        </bottom>
        <vertical/>
        <horizontal/>
      </border>
    </dxf>
    <dxf>
      <font>
        <sz val="10"/>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B8E017C9-EFFF-48ED-9E35-AC125FA488F7}">
      <tableStyleElement type="wholeTable" dxfId="15"/>
      <tableStyleElement type="headerRow" dxfId="14"/>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22/10/relationships/richValueRel" Target="richData/richValueRel.xml"/><Relationship Id="rId39" Type="http://schemas.openxmlformats.org/officeDocument/2006/relationships/customXml" Target="../customXml/item7.xml"/><Relationship Id="rId21" Type="http://schemas.openxmlformats.org/officeDocument/2006/relationships/theme" Target="theme/theme1.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17/06/relationships/rdRichValueTypes" Target="richData/rdRichValueTypes.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5" Type="http://schemas.openxmlformats.org/officeDocument/2006/relationships/worksheet" Target="worksheets/sheet5.xml"/><Relationship Id="rId61" Type="http://schemas.openxmlformats.org/officeDocument/2006/relationships/customXml" Target="../customXml/item29.xml"/><Relationship Id="rId19" Type="http://schemas.microsoft.com/office/2007/relationships/slicerCache" Target="slicerCaches/slicerCache1.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microsoft.com/office/2017/06/relationships/rdRichValue" Target="richData/rdrichvalue.xml"/><Relationship Id="rId30" Type="http://schemas.openxmlformats.org/officeDocument/2006/relationships/powerPivotData" Target="model/item.data"/><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8" Type="http://schemas.openxmlformats.org/officeDocument/2006/relationships/pivotCacheDefinition" Target="pivotCache/pivotCacheDefinition3.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eetMetadata" Target="metadata.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20" Type="http://schemas.microsoft.com/office/2007/relationships/slicerCache" Target="slicerCaches/slicerCache2.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microsoft.com/office/2017/06/relationships/rdRichValueStructure" Target="richData/rdrichvaluestructure.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5.xml"/><Relationship Id="rId31" Type="http://schemas.microsoft.com/office/2017/10/relationships/person" Target="persons/person.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pivotCacheDefinition" Target="pivotCache/pivotCacheDefinition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6.9401464677055231E-3"/>
              <c:y val="-7.219726937251574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showDataLabelsRange val="1"/>
            </c:ext>
          </c:extLst>
        </c:dLbl>
      </c:pivotFmt>
      <c:pivotFmt>
        <c:idx val="3"/>
        <c:spPr>
          <a:solidFill>
            <a:schemeClr val="accent1"/>
          </a:solidFill>
          <a:ln>
            <a:noFill/>
          </a:ln>
          <a:effectLst/>
        </c:spPr>
        <c:dLbl>
          <c:idx val="0"/>
          <c:layout>
            <c:manualLayout>
              <c:x val="-9.9506404982959221E-3"/>
              <c:y val="-1.498842056507646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showDataLabelsRange val="1"/>
            </c:ext>
          </c:extLst>
        </c:dLbl>
      </c:pivotFmt>
    </c:pivotFmts>
    <c:plotArea>
      <c:layout>
        <c:manualLayout>
          <c:layoutTarget val="inner"/>
          <c:xMode val="edge"/>
          <c:yMode val="edge"/>
          <c:x val="0"/>
          <c:y val="0"/>
          <c:w val="0.56350139068437344"/>
          <c:h val="1"/>
        </c:manualLayout>
      </c:layout>
      <c:barChart>
        <c:barDir val="bar"/>
        <c:grouping val="clustered"/>
        <c:varyColors val="0"/>
        <c:ser>
          <c:idx val="0"/>
          <c:order val="0"/>
          <c:tx>
            <c:strRef>
              <c:f>'Pivot Report'!$I$24</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9B55-4936-BD05-FDA271B70B87}"/>
              </c:ext>
            </c:extLst>
          </c:dPt>
          <c:dPt>
            <c:idx val="1"/>
            <c:invertIfNegative val="0"/>
            <c:bubble3D val="0"/>
            <c:extLst>
              <c:ext xmlns:c16="http://schemas.microsoft.com/office/drawing/2014/chart" uri="{C3380CC4-5D6E-409C-BE32-E72D297353CC}">
                <c16:uniqueId val="{00000001-9B55-4936-BD05-FDA271B70B87}"/>
              </c:ext>
            </c:extLst>
          </c:dPt>
          <c:dLbls>
            <c:dLbl>
              <c:idx val="0"/>
              <c:layout>
                <c:manualLayout>
                  <c:x val="6.9401464677055231E-3"/>
                  <c:y val="-7.219726937251574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showDataLabelsRange val="1"/>
                </c:ext>
                <c:ext xmlns:c16="http://schemas.microsoft.com/office/drawing/2014/chart" uri="{C3380CC4-5D6E-409C-BE32-E72D297353CC}">
                  <c16:uniqueId val="{00000000-9B55-4936-BD05-FDA271B70B87}"/>
                </c:ext>
              </c:extLst>
            </c:dLbl>
            <c:dLbl>
              <c:idx val="1"/>
              <c:layout>
                <c:manualLayout>
                  <c:x val="-9.9506404982959221E-3"/>
                  <c:y val="-1.498842056507646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showDataLabelsRange val="1"/>
                </c:ext>
                <c:ext xmlns:c16="http://schemas.microsoft.com/office/drawing/2014/chart" uri="{C3380CC4-5D6E-409C-BE32-E72D297353CC}">
                  <c16:uniqueId val="{00000001-9B55-4936-BD05-FDA271B70B87}"/>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strRef>
              <c:f>'Pivot Report'!$H$25:$H$27</c:f>
              <c:strCache>
                <c:ptCount val="2"/>
                <c:pt idx="0">
                  <c:v>Admitted</c:v>
                </c:pt>
                <c:pt idx="1">
                  <c:v>Not Admitted</c:v>
                </c:pt>
              </c:strCache>
            </c:strRef>
          </c:cat>
          <c:val>
            <c:numRef>
              <c:f>'Pivot Report'!$I$25:$I$27</c:f>
              <c:numCache>
                <c:formatCode>0.00</c:formatCode>
                <c:ptCount val="2"/>
                <c:pt idx="0">
                  <c:v>4612</c:v>
                </c:pt>
                <c:pt idx="1">
                  <c:v>4604</c:v>
                </c:pt>
              </c:numCache>
            </c:numRef>
          </c:val>
          <c:extLst>
            <c:ext xmlns:c16="http://schemas.microsoft.com/office/drawing/2014/chart" uri="{C3380CC4-5D6E-409C-BE32-E72D297353CC}">
              <c16:uniqueId val="{00000002-4790-4062-97B3-67C1CA9E960F}"/>
            </c:ext>
          </c:extLst>
        </c:ser>
        <c:ser>
          <c:idx val="1"/>
          <c:order val="1"/>
          <c:tx>
            <c:strRef>
              <c:f>'Pivot Report'!$J$24</c:f>
              <c:strCache>
                <c:ptCount val="1"/>
                <c:pt idx="0">
                  <c:v>Percentage</c:v>
                </c:pt>
              </c:strCache>
            </c:strRef>
          </c:tx>
          <c:spPr>
            <a:solidFill>
              <a:schemeClr val="accent2"/>
            </a:solidFill>
            <a:ln>
              <a:noFill/>
            </a:ln>
            <a:effectLst/>
          </c:spPr>
          <c:invertIfNegative val="0"/>
          <c:cat>
            <c:strRef>
              <c:f>'Pivot Report'!$H$25:$H$27</c:f>
              <c:strCache>
                <c:ptCount val="2"/>
                <c:pt idx="0">
                  <c:v>Admitted</c:v>
                </c:pt>
                <c:pt idx="1">
                  <c:v>Not Admitted</c:v>
                </c:pt>
              </c:strCache>
            </c:strRef>
          </c:cat>
          <c:val>
            <c:numRef>
              <c:f>'Pivot Report'!$J$25:$J$27</c:f>
              <c:numCache>
                <c:formatCode>0.00%</c:formatCode>
                <c:ptCount val="2"/>
                <c:pt idx="0">
                  <c:v>0.50043402777777779</c:v>
                </c:pt>
                <c:pt idx="1">
                  <c:v>0.49956597222222221</c:v>
                </c:pt>
              </c:numCache>
            </c:numRef>
          </c:val>
          <c:extLst>
            <c:ext xmlns:c16="http://schemas.microsoft.com/office/drawing/2014/chart" uri="{C3380CC4-5D6E-409C-BE32-E72D297353CC}">
              <c16:uniqueId val="{00000003-4790-4062-97B3-67C1CA9E960F}"/>
            </c:ext>
          </c:extLst>
        </c:ser>
        <c:dLbls>
          <c:showLegendKey val="0"/>
          <c:showVal val="0"/>
          <c:showCatName val="0"/>
          <c:showSerName val="0"/>
          <c:showPercent val="0"/>
          <c:showBubbleSize val="0"/>
        </c:dLbls>
        <c:gapWidth val="0"/>
        <c:axId val="1777107583"/>
        <c:axId val="2084160943"/>
      </c:barChart>
      <c:catAx>
        <c:axId val="1777107583"/>
        <c:scaling>
          <c:orientation val="minMax"/>
        </c:scaling>
        <c:delete val="1"/>
        <c:axPos val="l"/>
        <c:numFmt formatCode="General" sourceLinked="1"/>
        <c:majorTickMark val="out"/>
        <c:minorTickMark val="none"/>
        <c:tickLblPos val="nextTo"/>
        <c:crossAx val="2084160943"/>
        <c:crosses val="autoZero"/>
        <c:auto val="1"/>
        <c:lblAlgn val="ctr"/>
        <c:lblOffset val="100"/>
        <c:noMultiLvlLbl val="0"/>
      </c:catAx>
      <c:valAx>
        <c:axId val="2084160943"/>
        <c:scaling>
          <c:orientation val="minMax"/>
        </c:scaling>
        <c:delete val="1"/>
        <c:axPos val="b"/>
        <c:numFmt formatCode="0.00" sourceLinked="1"/>
        <c:majorTickMark val="out"/>
        <c:minorTickMark val="none"/>
        <c:tickLblPos val="nextTo"/>
        <c:crossAx val="177710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w="25400">
              <a:noFill/>
            </a:ln>
            <a:effectLst/>
          </c:spPr>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9F3A-481E-A218-2785C02666A1}"/>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4.1713145231846022E-2"/>
          <c:w val="1"/>
          <c:h val="0.94565217391304368"/>
        </c:manualLayout>
      </c:layout>
      <c:areaChart>
        <c:grouping val="standard"/>
        <c:varyColors val="0"/>
        <c:ser>
          <c:idx val="0"/>
          <c:order val="0"/>
          <c:tx>
            <c:strRef>
              <c:f>'Pivot Report'!$J$3</c:f>
              <c:strCache>
                <c:ptCount val="1"/>
                <c:pt idx="0">
                  <c:v>Total</c:v>
                </c:pt>
              </c:strCache>
            </c:strRef>
          </c:tx>
          <c:spPr>
            <a:solidFill>
              <a:schemeClr val="accent1"/>
            </a:solidFill>
            <a:ln w="25400">
              <a:noFill/>
            </a:ln>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1E6-4551-87BA-063CDD25CAC0}"/>
            </c:ext>
          </c:extLst>
        </c:ser>
        <c:dLbls>
          <c:showLegendKey val="0"/>
          <c:showVal val="0"/>
          <c:showCatName val="0"/>
          <c:showSerName val="0"/>
          <c:showPercent val="0"/>
          <c:showBubbleSize val="0"/>
        </c:dLbls>
        <c:axId val="1504015344"/>
        <c:axId val="438711536"/>
      </c:areaChart>
      <c:catAx>
        <c:axId val="1504015344"/>
        <c:scaling>
          <c:orientation val="minMax"/>
        </c:scaling>
        <c:delete val="1"/>
        <c:axPos val="b"/>
        <c:numFmt formatCode="General" sourceLinked="1"/>
        <c:majorTickMark val="out"/>
        <c:minorTickMark val="none"/>
        <c:tickLblPos val="nextTo"/>
        <c:crossAx val="438711536"/>
        <c:crosses val="autoZero"/>
        <c:auto val="1"/>
        <c:lblAlgn val="ctr"/>
        <c:lblOffset val="100"/>
        <c:noMultiLvlLbl val="0"/>
      </c:catAx>
      <c:valAx>
        <c:axId val="438711536"/>
        <c:scaling>
          <c:orientation val="minMax"/>
        </c:scaling>
        <c:delete val="1"/>
        <c:axPos val="l"/>
        <c:numFmt formatCode="0.00" sourceLinked="1"/>
        <c:majorTickMark val="none"/>
        <c:minorTickMark val="none"/>
        <c:tickLblPos val="nextTo"/>
        <c:crossAx val="1504015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4074074074074E-3"/>
          <c:y val="0.16993393067245904"/>
          <c:w val="0.98888888888888893"/>
          <c:h val="0.82870370370370372"/>
        </c:manualLayout>
      </c:layout>
      <c:areaChart>
        <c:grouping val="standard"/>
        <c:varyColors val="0"/>
        <c:ser>
          <c:idx val="0"/>
          <c:order val="0"/>
          <c:tx>
            <c:strRef>
              <c:f>'Pivot Report'!$C$22</c:f>
              <c:strCache>
                <c:ptCount val="1"/>
                <c:pt idx="0">
                  <c:v>Total</c:v>
                </c:pt>
              </c:strCache>
            </c:strRef>
          </c:tx>
          <c:spPr>
            <a:solidFill>
              <a:schemeClr val="accent1"/>
            </a:solidFill>
            <a:ln w="25400">
              <a:noFill/>
            </a:ln>
            <a:effectLst/>
          </c:spPr>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784F-4D11-9709-7D598940956C}"/>
            </c:ext>
          </c:extLst>
        </c:ser>
        <c:dLbls>
          <c:showLegendKey val="0"/>
          <c:showVal val="0"/>
          <c:showCatName val="0"/>
          <c:showSerName val="0"/>
          <c:showPercent val="0"/>
          <c:showBubbleSize val="0"/>
        </c:dLbls>
        <c:axId val="1586857024"/>
        <c:axId val="438825776"/>
      </c:areaChart>
      <c:catAx>
        <c:axId val="1586857024"/>
        <c:scaling>
          <c:orientation val="minMax"/>
        </c:scaling>
        <c:delete val="1"/>
        <c:axPos val="b"/>
        <c:numFmt formatCode="General" sourceLinked="1"/>
        <c:majorTickMark val="out"/>
        <c:minorTickMark val="none"/>
        <c:tickLblPos val="nextTo"/>
        <c:crossAx val="438825776"/>
        <c:crosses val="autoZero"/>
        <c:auto val="1"/>
        <c:lblAlgn val="ctr"/>
        <c:lblOffset val="100"/>
        <c:noMultiLvlLbl val="0"/>
      </c:catAx>
      <c:valAx>
        <c:axId val="438825776"/>
        <c:scaling>
          <c:orientation val="minMax"/>
        </c:scaling>
        <c:delete val="1"/>
        <c:axPos val="l"/>
        <c:numFmt formatCode="0.00" sourceLinked="1"/>
        <c:majorTickMark val="none"/>
        <c:minorTickMark val="none"/>
        <c:tickLblPos val="nextTo"/>
        <c:crossAx val="158685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985513174489548E-2"/>
          <c:y val="0"/>
          <c:w val="0.93888888888888888"/>
          <c:h val="0.76685710338839219"/>
        </c:manualLayout>
      </c:layout>
      <c:barChart>
        <c:barDir val="col"/>
        <c:grouping val="clustered"/>
        <c:varyColors val="0"/>
        <c:ser>
          <c:idx val="0"/>
          <c:order val="0"/>
          <c:tx>
            <c:strRef>
              <c:f>'Pivot Report'!$I$42</c:f>
              <c:strCache>
                <c:ptCount val="1"/>
                <c:pt idx="0">
                  <c:v>Total</c:v>
                </c:pt>
              </c:strCache>
            </c:strRef>
          </c:tx>
          <c:spPr>
            <a:solidFill>
              <a:schemeClr val="accent1"/>
            </a:solidFill>
            <a:ln>
              <a:noFill/>
            </a:ln>
            <a:effectLst/>
          </c:spPr>
          <c:invertIfNegative val="0"/>
          <c:cat>
            <c:strRef>
              <c:f>'Pivot Report'!$H$43:$H$51</c:f>
              <c:strCache>
                <c:ptCount val="8"/>
                <c:pt idx="0">
                  <c:v>0-09</c:v>
                </c:pt>
                <c:pt idx="1">
                  <c:v>10-19</c:v>
                </c:pt>
                <c:pt idx="2">
                  <c:v>20-29</c:v>
                </c:pt>
                <c:pt idx="3">
                  <c:v>30-39</c:v>
                </c:pt>
                <c:pt idx="4">
                  <c:v>40-49</c:v>
                </c:pt>
                <c:pt idx="5">
                  <c:v>50-59</c:v>
                </c:pt>
                <c:pt idx="6">
                  <c:v>60-69</c:v>
                </c:pt>
                <c:pt idx="7">
                  <c:v>70-79</c:v>
                </c:pt>
              </c:strCache>
            </c:strRef>
          </c:cat>
          <c:val>
            <c:numRef>
              <c:f>'Pivot Report'!$I$43:$I$51</c:f>
              <c:numCache>
                <c:formatCode>0.00</c:formatCode>
                <c:ptCount val="8"/>
                <c:pt idx="0">
                  <c:v>1056</c:v>
                </c:pt>
                <c:pt idx="1">
                  <c:v>1179</c:v>
                </c:pt>
                <c:pt idx="2">
                  <c:v>1188</c:v>
                </c:pt>
                <c:pt idx="3">
                  <c:v>1200</c:v>
                </c:pt>
                <c:pt idx="4">
                  <c:v>1135</c:v>
                </c:pt>
                <c:pt idx="5">
                  <c:v>1151</c:v>
                </c:pt>
                <c:pt idx="6">
                  <c:v>1154</c:v>
                </c:pt>
                <c:pt idx="7">
                  <c:v>1153</c:v>
                </c:pt>
              </c:numCache>
            </c:numRef>
          </c:val>
          <c:extLst>
            <c:ext xmlns:c16="http://schemas.microsoft.com/office/drawing/2014/chart" uri="{C3380CC4-5D6E-409C-BE32-E72D297353CC}">
              <c16:uniqueId val="{00000000-E7F6-4142-A319-3ECB040D193C}"/>
            </c:ext>
          </c:extLst>
        </c:ser>
        <c:dLbls>
          <c:showLegendKey val="0"/>
          <c:showVal val="0"/>
          <c:showCatName val="0"/>
          <c:showSerName val="0"/>
          <c:showPercent val="0"/>
          <c:showBubbleSize val="0"/>
        </c:dLbls>
        <c:gapWidth val="219"/>
        <c:overlap val="-27"/>
        <c:axId val="1530626367"/>
        <c:axId val="743540111"/>
      </c:barChart>
      <c:catAx>
        <c:axId val="15306263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40111"/>
        <c:crosses val="autoZero"/>
        <c:auto val="1"/>
        <c:lblAlgn val="ctr"/>
        <c:lblOffset val="100"/>
        <c:noMultiLvlLbl val="0"/>
      </c:catAx>
      <c:valAx>
        <c:axId val="743540111"/>
        <c:scaling>
          <c:orientation val="minMax"/>
        </c:scaling>
        <c:delete val="1"/>
        <c:axPos val="l"/>
        <c:numFmt formatCode="0.00" sourceLinked="1"/>
        <c:majorTickMark val="out"/>
        <c:minorTickMark val="none"/>
        <c:tickLblPos val="nextTo"/>
        <c:crossAx val="153062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Report!PivotTable9</c:name>
    <c:fmtId val="4"/>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c:spPr>
      </c:pivotFmt>
    </c:pivotFmts>
    <c:plotArea>
      <c:layout>
        <c:manualLayout>
          <c:layoutTarget val="inner"/>
          <c:xMode val="edge"/>
          <c:yMode val="edge"/>
          <c:x val="0.11434256201845737"/>
          <c:y val="0.17149830356571286"/>
          <c:w val="0.80270868746865687"/>
          <c:h val="0.78900390499967976"/>
        </c:manualLayout>
      </c:layout>
      <c:pieChart>
        <c:varyColors val="1"/>
        <c:ser>
          <c:idx val="0"/>
          <c:order val="0"/>
          <c:tx>
            <c:strRef>
              <c:f>'Pivot Report'!$C$42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87A-4D22-8274-1FD4E109C883}"/>
              </c:ext>
            </c:extLst>
          </c:dPt>
          <c:dPt>
            <c:idx val="1"/>
            <c:bubble3D val="0"/>
            <c:spPr>
              <a:solidFill>
                <a:schemeClr val="accent2"/>
              </a:solidFill>
              <a:ln>
                <a:noFill/>
              </a:ln>
              <a:effectLst/>
            </c:spPr>
            <c:extLst>
              <c:ext xmlns:c16="http://schemas.microsoft.com/office/drawing/2014/chart" uri="{C3380CC4-5D6E-409C-BE32-E72D297353CC}">
                <c16:uniqueId val="{00000003-A87A-4D22-8274-1FD4E109C88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Report'!$B$43:$B$45</c:f>
              <c:strCache>
                <c:ptCount val="2"/>
                <c:pt idx="0">
                  <c:v>Delay</c:v>
                </c:pt>
                <c:pt idx="1">
                  <c:v>Ontime</c:v>
                </c:pt>
              </c:strCache>
            </c:strRef>
          </c:cat>
          <c:val>
            <c:numRef>
              <c:f>'Pivot Report'!$C$43:$C$45</c:f>
              <c:numCache>
                <c:formatCode>0</c:formatCode>
                <c:ptCount val="2"/>
                <c:pt idx="0">
                  <c:v>5467</c:v>
                </c:pt>
                <c:pt idx="1">
                  <c:v>3749</c:v>
                </c:pt>
              </c:numCache>
            </c:numRef>
          </c:val>
          <c:extLst>
            <c:ext xmlns:c16="http://schemas.microsoft.com/office/drawing/2014/chart" uri="{C3380CC4-5D6E-409C-BE32-E72D297353CC}">
              <c16:uniqueId val="{00000004-5A12-47AC-92E0-F2D4E6CA0EB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29415806155718427"/>
          <c:y val="4.2293923029736225E-2"/>
          <c:w val="0.22207993896956651"/>
          <c:h val="0.2000935227924095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8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Report!PivotTable10</c:name>
    <c:fmtId val="10"/>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155587847656381"/>
          <c:y val="0.14269483955634579"/>
          <c:w val="0.8255174658045793"/>
          <c:h val="0.81886006688680046"/>
        </c:manualLayout>
      </c:layout>
      <c:doughnutChart>
        <c:varyColors val="1"/>
        <c:ser>
          <c:idx val="0"/>
          <c:order val="0"/>
          <c:tx>
            <c:strRef>
              <c:f>'Pivot Report'!$E$37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2A5-4A60-9CA7-0AF77F526C0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2A5-4A60-9CA7-0AF77F526C0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Report'!$D$38:$D$40</c:f>
              <c:strCache>
                <c:ptCount val="2"/>
                <c:pt idx="0">
                  <c:v>Female</c:v>
                </c:pt>
                <c:pt idx="1">
                  <c:v>Male</c:v>
                </c:pt>
              </c:strCache>
            </c:strRef>
          </c:cat>
          <c:val>
            <c:numRef>
              <c:f>'Pivot Report'!$E$38:$E$40</c:f>
              <c:numCache>
                <c:formatCode>0</c:formatCode>
                <c:ptCount val="2"/>
                <c:pt idx="0">
                  <c:v>4487</c:v>
                </c:pt>
                <c:pt idx="1">
                  <c:v>4729</c:v>
                </c:pt>
              </c:numCache>
            </c:numRef>
          </c:val>
          <c:extLst>
            <c:ext xmlns:c16="http://schemas.microsoft.com/office/drawing/2014/chart" uri="{C3380CC4-5D6E-409C-BE32-E72D297353CC}">
              <c16:uniqueId val="{00000004-77FE-45DB-A8A2-CD3B29185D9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9.7277888547193367E-2"/>
          <c:y val="3.2985564304461965E-2"/>
          <c:w val="0.28845944561807824"/>
          <c:h val="0.2268161036322073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Report!PivotTable12</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Report'!$L$42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Report'!$K$43:$K$51</c:f>
              <c:strCache>
                <c:ptCount val="8"/>
                <c:pt idx="0">
                  <c:v>Renal</c:v>
                </c:pt>
                <c:pt idx="1">
                  <c:v>Gastroenterology</c:v>
                </c:pt>
                <c:pt idx="2">
                  <c:v>Neurology</c:v>
                </c:pt>
                <c:pt idx="3">
                  <c:v>Cardiology</c:v>
                </c:pt>
                <c:pt idx="4">
                  <c:v>Physiotherapy</c:v>
                </c:pt>
                <c:pt idx="5">
                  <c:v>Orthopedics</c:v>
                </c:pt>
                <c:pt idx="6">
                  <c:v>General Practice</c:v>
                </c:pt>
                <c:pt idx="7">
                  <c:v>None</c:v>
                </c:pt>
              </c:strCache>
            </c:strRef>
          </c:cat>
          <c:val>
            <c:numRef>
              <c:f>'Pivot Report'!$L$43:$L$51</c:f>
              <c:numCache>
                <c:formatCode>0</c:formatCode>
                <c:ptCount val="8"/>
                <c:pt idx="0">
                  <c:v>86</c:v>
                </c:pt>
                <c:pt idx="1">
                  <c:v>178</c:v>
                </c:pt>
                <c:pt idx="2">
                  <c:v>193</c:v>
                </c:pt>
                <c:pt idx="3">
                  <c:v>248</c:v>
                </c:pt>
                <c:pt idx="4">
                  <c:v>276</c:v>
                </c:pt>
                <c:pt idx="5">
                  <c:v>995</c:v>
                </c:pt>
                <c:pt idx="6">
                  <c:v>1840</c:v>
                </c:pt>
                <c:pt idx="7">
                  <c:v>5400</c:v>
                </c:pt>
              </c:numCache>
            </c:numRef>
          </c:val>
          <c:extLst>
            <c:ext xmlns:c16="http://schemas.microsoft.com/office/drawing/2014/chart" uri="{C3380CC4-5D6E-409C-BE32-E72D297353CC}">
              <c16:uniqueId val="{00000000-596D-400B-BB11-05DA8A8E161B}"/>
            </c:ext>
          </c:extLst>
        </c:ser>
        <c:dLbls>
          <c:dLblPos val="outEnd"/>
          <c:showLegendKey val="0"/>
          <c:showVal val="1"/>
          <c:showCatName val="0"/>
          <c:showSerName val="0"/>
          <c:showPercent val="0"/>
          <c:showBubbleSize val="0"/>
        </c:dLbls>
        <c:gapWidth val="32"/>
        <c:axId val="496501311"/>
        <c:axId val="1496335952"/>
      </c:barChart>
      <c:catAx>
        <c:axId val="496501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6335952"/>
        <c:crosses val="autoZero"/>
        <c:auto val="1"/>
        <c:lblAlgn val="ctr"/>
        <c:lblOffset val="100"/>
        <c:noMultiLvlLbl val="0"/>
      </c:catAx>
      <c:valAx>
        <c:axId val="1496335952"/>
        <c:scaling>
          <c:orientation val="minMax"/>
        </c:scaling>
        <c:delete val="1"/>
        <c:axPos val="b"/>
        <c:numFmt formatCode="0" sourceLinked="1"/>
        <c:majorTickMark val="none"/>
        <c:minorTickMark val="none"/>
        <c:tickLblPos val="nextTo"/>
        <c:crossAx val="496501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Total patients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88C7-4E0D-8942-00582C1593A4}"/>
            </c:ext>
          </c:extLst>
        </c:ser>
        <c:dLbls>
          <c:showLegendKey val="0"/>
          <c:showVal val="1"/>
          <c:showCatName val="0"/>
          <c:showSerName val="0"/>
          <c:showPercent val="0"/>
          <c:showBubbleSize val="0"/>
        </c:dLbls>
        <c:axId val="1399729999"/>
        <c:axId val="722337135"/>
      </c:areaChart>
      <c:catAx>
        <c:axId val="1399729999"/>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wait time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19540229885057E-2"/>
          <c:y val="4.1713145231846022E-2"/>
          <c:w val="0.90114942528735631"/>
          <c:h val="0.85131258356856332"/>
        </c:manualLayout>
      </c:layout>
      <c:areaChart>
        <c:grouping val="standard"/>
        <c:varyColors val="0"/>
        <c:ser>
          <c:idx val="0"/>
          <c:order val="0"/>
          <c:tx>
            <c:strRef>
              <c:f>'Pivot Report'!$J$3</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CF4-4F33-BB14-4FFF404780BB}"/>
            </c:ext>
          </c:extLst>
        </c:ser>
        <c:dLbls>
          <c:showLegendKey val="0"/>
          <c:showVal val="0"/>
          <c:showCatName val="0"/>
          <c:showSerName val="0"/>
          <c:showPercent val="0"/>
          <c:showBubbleSize val="0"/>
        </c:dLbls>
        <c:axId val="1504015344"/>
        <c:axId val="438711536"/>
      </c:areaChart>
      <c:catAx>
        <c:axId val="1504015344"/>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711536"/>
        <c:crosses val="autoZero"/>
        <c:auto val="1"/>
        <c:lblAlgn val="ctr"/>
        <c:lblOffset val="100"/>
        <c:noMultiLvlLbl val="0"/>
      </c:catAx>
      <c:valAx>
        <c:axId val="438711536"/>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015344"/>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patient satisfaction score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72601929894479E-2"/>
          <c:y val="0.16993393067245904"/>
          <c:w val="0.86599210865332943"/>
          <c:h val="0.82870370370370372"/>
        </c:manualLayout>
      </c:layout>
      <c:areaChart>
        <c:grouping val="standard"/>
        <c:varyColors val="0"/>
        <c:ser>
          <c:idx val="0"/>
          <c:order val="0"/>
          <c:tx>
            <c:strRef>
              <c:f>'Pivot Report'!$C$22</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7BD9-4BED-8669-EAF407695E81}"/>
            </c:ext>
          </c:extLst>
        </c:ser>
        <c:dLbls>
          <c:showLegendKey val="0"/>
          <c:showVal val="1"/>
          <c:showCatName val="0"/>
          <c:showSerName val="0"/>
          <c:showPercent val="0"/>
          <c:showBubbleSize val="0"/>
        </c:dLbls>
        <c:axId val="1586857024"/>
        <c:axId val="438825776"/>
      </c:areaChart>
      <c:catAx>
        <c:axId val="1586857024"/>
        <c:scaling>
          <c:orientation val="minMax"/>
        </c:scaling>
        <c:delete val="1"/>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crossAx val="438825776"/>
        <c:crosses val="autoZero"/>
        <c:auto val="1"/>
        <c:lblAlgn val="ctr"/>
        <c:lblOffset val="100"/>
        <c:noMultiLvlLbl val="0"/>
      </c:catAx>
      <c:valAx>
        <c:axId val="438825776"/>
        <c:scaling>
          <c:orientation val="minMax"/>
        </c:scaling>
        <c:delete val="1"/>
        <c:axPos val="l"/>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IN"/>
                  <a:t>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5868570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9.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10.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Patient Number'!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4.svg"/><Relationship Id="rId7" Type="http://schemas.openxmlformats.org/officeDocument/2006/relationships/image" Target="../media/image8.svg"/><Relationship Id="rId12" Type="http://schemas.openxmlformats.org/officeDocument/2006/relationships/hyperlink" Target="#'Satisfaction Score'!A1"/><Relationship Id="rId17" Type="http://schemas.openxmlformats.org/officeDocument/2006/relationships/chart" Target="../charts/chart7.xml"/><Relationship Id="rId2" Type="http://schemas.openxmlformats.org/officeDocument/2006/relationships/image" Target="../media/image3.png"/><Relationship Id="rId16" Type="http://schemas.openxmlformats.org/officeDocument/2006/relationships/chart" Target="../charts/chart6.xm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chart" Target="../charts/chart3.xml"/><Relationship Id="rId5" Type="http://schemas.openxmlformats.org/officeDocument/2006/relationships/image" Target="../media/image6.svg"/><Relationship Id="rId15" Type="http://schemas.openxmlformats.org/officeDocument/2006/relationships/chart" Target="../charts/chart5.xml"/><Relationship Id="rId10" Type="http://schemas.openxmlformats.org/officeDocument/2006/relationships/hyperlink" Target="#'Average WaitTime Trend Per Day'!A1"/><Relationship Id="rId4" Type="http://schemas.openxmlformats.org/officeDocument/2006/relationships/image" Target="../media/image5.png"/><Relationship Id="rId9" Type="http://schemas.openxmlformats.org/officeDocument/2006/relationships/chart" Target="../charts/chart2.xml"/><Relationship Id="rId14" Type="http://schemas.openxmlformats.org/officeDocument/2006/relationships/image" Target="../media/image9.emf"/></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2.sv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2.svg"/></Relationships>
</file>

<file path=xl/drawings/_rels/drawing5.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2.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10</xdr:col>
      <xdr:colOff>38100</xdr:colOff>
      <xdr:row>29</xdr:row>
      <xdr:rowOff>23813</xdr:rowOff>
    </xdr:from>
    <xdr:to>
      <xdr:col>11</xdr:col>
      <xdr:colOff>261937</xdr:colOff>
      <xdr:row>30</xdr:row>
      <xdr:rowOff>152400</xdr:rowOff>
    </xdr:to>
    <xdr:graphicFrame macro="">
      <xdr:nvGraphicFramePr>
        <xdr:cNvPr id="2" name="Chart 1">
          <a:extLst>
            <a:ext uri="{FF2B5EF4-FFF2-40B4-BE49-F238E27FC236}">
              <a16:creationId xmlns:a16="http://schemas.microsoft.com/office/drawing/2014/main" id="{4492AB43-F40D-7121-2FBF-E315C5550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1932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Total</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75567</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39983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9216</a:t>
          </a:fld>
          <a:endParaRPr lang="en-IN" sz="1200" b="1">
            <a:solidFill>
              <a:schemeClr val="tx1"/>
            </a:solidFill>
            <a:latin typeface="Arial Black" panose="020B0A04020102020204" pitchFamily="34" charset="0"/>
          </a:endParaRPr>
        </a:p>
      </xdr:txBody>
    </xdr:sp>
    <xdr:clientData/>
  </xdr:twoCellAnchor>
  <xdr:twoCellAnchor editAs="absolute">
    <xdr:from>
      <xdr:col>14</xdr:col>
      <xdr:colOff>472440</xdr:colOff>
      <xdr:row>11</xdr:row>
      <xdr:rowOff>91440</xdr:rowOff>
    </xdr:from>
    <xdr:to>
      <xdr:col>18</xdr:col>
      <xdr:colOff>274320</xdr:colOff>
      <xdr:row>12</xdr:row>
      <xdr:rowOff>53215</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90068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Attended Status</a:t>
          </a:r>
          <a:endParaRPr lang="en-IN" sz="800">
            <a:solidFill>
              <a:schemeClr val="tx1"/>
            </a:solidFill>
            <a:latin typeface="Arial Black" panose="020B0A04020102020204" pitchFamily="34" charset="0"/>
          </a:endParaRPr>
        </a:p>
      </xdr:txBody>
    </xdr:sp>
    <xdr:clientData/>
  </xdr:twoCellAnchor>
  <xdr:twoCellAnchor editAs="absolute">
    <xdr:from>
      <xdr:col>7</xdr:col>
      <xdr:colOff>175260</xdr:colOff>
      <xdr:row>7</xdr:row>
      <xdr:rowOff>175260</xdr:rowOff>
    </xdr:from>
    <xdr:to>
      <xdr:col>10</xdr:col>
      <xdr:colOff>586740</xdr:colOff>
      <xdr:row>9</xdr:row>
      <xdr:rowOff>106047</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42460" y="143031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35.26</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38100</xdr:colOff>
      <xdr:row>7</xdr:row>
      <xdr:rowOff>121920</xdr:rowOff>
    </xdr:from>
    <xdr:to>
      <xdr:col>14</xdr:col>
      <xdr:colOff>449580</xdr:colOff>
      <xdr:row>9</xdr:row>
      <xdr:rowOff>52707</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43700" y="137697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4.99</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167640</xdr:colOff>
      <xdr:row>9</xdr:row>
      <xdr:rowOff>1</xdr:rowOff>
    </xdr:from>
    <xdr:to>
      <xdr:col>14</xdr:col>
      <xdr:colOff>480060</xdr:colOff>
      <xdr:row>10</xdr:row>
      <xdr:rowOff>178758</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873240" y="1645921"/>
          <a:ext cx="214122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152400</xdr:colOff>
      <xdr:row>6</xdr:row>
      <xdr:rowOff>121920</xdr:rowOff>
    </xdr:from>
    <xdr:to>
      <xdr:col>3</xdr:col>
      <xdr:colOff>83820</xdr:colOff>
      <xdr:row>24</xdr:row>
      <xdr:rowOff>45720</xdr:rowOff>
    </xdr:to>
    <mc:AlternateContent xmlns:mc="http://schemas.openxmlformats.org/markup-compatibility/2006" xmlns:a14="http://schemas.microsoft.com/office/drawing/2010/main">
      <mc:Choice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52400" y="1219200"/>
              <a:ext cx="1760220" cy="3215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hlinkClick xmlns:r="http://schemas.openxmlformats.org/officeDocument/2006/relationships" r:id="rId8"/>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7</xdr:col>
      <xdr:colOff>198120</xdr:colOff>
      <xdr:row>10</xdr:row>
      <xdr:rowOff>0</xdr:rowOff>
    </xdr:from>
    <xdr:to>
      <xdr:col>11</xdr:col>
      <xdr:colOff>7620</xdr:colOff>
      <xdr:row>12</xdr:row>
      <xdr:rowOff>38100</xdr:rowOff>
    </xdr:to>
    <xdr:graphicFrame macro="">
      <xdr:nvGraphicFramePr>
        <xdr:cNvPr id="13" name="Chart 12">
          <a:hlinkClick xmlns:r="http://schemas.openxmlformats.org/officeDocument/2006/relationships" r:id="rId10"/>
          <a:extLst>
            <a:ext uri="{FF2B5EF4-FFF2-40B4-BE49-F238E27FC236}">
              <a16:creationId xmlns:a16="http://schemas.microsoft.com/office/drawing/2014/main" id="{3FBB62E5-303C-4D74-A2FF-DA17CA038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11</xdr:col>
      <xdr:colOff>152400</xdr:colOff>
      <xdr:row>9</xdr:row>
      <xdr:rowOff>137160</xdr:rowOff>
    </xdr:from>
    <xdr:to>
      <xdr:col>14</xdr:col>
      <xdr:colOff>518160</xdr:colOff>
      <xdr:row>12</xdr:row>
      <xdr:rowOff>30480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65D9EB3A-7CBA-43B3-B06D-EE7834889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312420</xdr:colOff>
          <xdr:row>12</xdr:row>
          <xdr:rowOff>140260</xdr:rowOff>
        </xdr:from>
        <xdr:to>
          <xdr:col>14</xdr:col>
          <xdr:colOff>518160</xdr:colOff>
          <xdr:row>17</xdr:row>
          <xdr:rowOff>76200</xdr:rowOff>
        </xdr:to>
        <xdr:pic>
          <xdr:nvPicPr>
            <xdr:cNvPr id="37" name="Picture 36">
              <a:extLst>
                <a:ext uri="{FF2B5EF4-FFF2-40B4-BE49-F238E27FC236}">
                  <a16:creationId xmlns:a16="http://schemas.microsoft.com/office/drawing/2014/main" id="{9538A409-FFA6-258B-D023-4EA44D6D40A8}"/>
                </a:ext>
              </a:extLst>
            </xdr:cNvPr>
            <xdr:cNvPicPr>
              <a:picLocks noChangeAspect="1" noChangeArrowheads="1"/>
              <a:extLst>
                <a:ext uri="{84589F7E-364E-4C9E-8A38-B11213B215E9}">
                  <a14:cameraTool cellRange="'Pivot Report'!$H$29:$L$31" spid="_x0000_s1075"/>
                </a:ext>
              </a:extLst>
            </xdr:cNvPicPr>
          </xdr:nvPicPr>
          <xdr:blipFill>
            <a:blip xmlns:r="http://schemas.openxmlformats.org/officeDocument/2006/relationships" r:embed="rId14"/>
            <a:srcRect/>
            <a:stretch>
              <a:fillRect/>
            </a:stretch>
          </xdr:blipFill>
          <xdr:spPr bwMode="auto">
            <a:xfrm>
              <a:off x="2141220" y="2334820"/>
              <a:ext cx="6911340" cy="85034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3</xdr:col>
      <xdr:colOff>495300</xdr:colOff>
      <xdr:row>17</xdr:row>
      <xdr:rowOff>175260</xdr:rowOff>
    </xdr:from>
    <xdr:to>
      <xdr:col>13</xdr:col>
      <xdr:colOff>548640</xdr:colOff>
      <xdr:row>23</xdr:row>
      <xdr:rowOff>91440</xdr:rowOff>
    </xdr:to>
    <xdr:graphicFrame macro="">
      <xdr:nvGraphicFramePr>
        <xdr:cNvPr id="38" name="Chart 37">
          <a:extLst>
            <a:ext uri="{FF2B5EF4-FFF2-40B4-BE49-F238E27FC236}">
              <a16:creationId xmlns:a16="http://schemas.microsoft.com/office/drawing/2014/main" id="{E6C11DAD-5AFB-4917-9973-A136F13D54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6</xdr:col>
      <xdr:colOff>167640</xdr:colOff>
      <xdr:row>23</xdr:row>
      <xdr:rowOff>106680</xdr:rowOff>
    </xdr:from>
    <xdr:to>
      <xdr:col>11</xdr:col>
      <xdr:colOff>121920</xdr:colOff>
      <xdr:row>24</xdr:row>
      <xdr:rowOff>104619</xdr:rowOff>
    </xdr:to>
    <xdr:sp macro="" textlink="">
      <xdr:nvSpPr>
        <xdr:cNvPr id="39" name="TextBox 38">
          <a:extLst>
            <a:ext uri="{FF2B5EF4-FFF2-40B4-BE49-F238E27FC236}">
              <a16:creationId xmlns:a16="http://schemas.microsoft.com/office/drawing/2014/main" id="{230968A3-08D5-4B95-8961-88B01D50B1FD}"/>
            </a:ext>
          </a:extLst>
        </xdr:cNvPr>
        <xdr:cNvSpPr txBox="1"/>
      </xdr:nvSpPr>
      <xdr:spPr>
        <a:xfrm>
          <a:off x="382524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Total</a:t>
          </a:r>
          <a:r>
            <a:rPr lang="en-IN" sz="1000" baseline="0">
              <a:solidFill>
                <a:schemeClr val="tx1"/>
              </a:solidFill>
              <a:latin typeface="Arial Black" panose="020B0A04020102020204" pitchFamily="34" charset="0"/>
            </a:rPr>
            <a:t> Number of Patient By Age Groups</a:t>
          </a:r>
          <a:endParaRPr lang="en-IN" sz="1000">
            <a:solidFill>
              <a:schemeClr val="tx1"/>
            </a:solidFill>
            <a:latin typeface="Arial Black" panose="020B0A04020102020204" pitchFamily="34" charset="0"/>
          </a:endParaRPr>
        </a:p>
      </xdr:txBody>
    </xdr:sp>
    <xdr:clientData/>
  </xdr:twoCellAnchor>
  <xdr:twoCellAnchor>
    <xdr:from>
      <xdr:col>14</xdr:col>
      <xdr:colOff>441960</xdr:colOff>
      <xdr:row>1</xdr:row>
      <xdr:rowOff>0</xdr:rowOff>
    </xdr:from>
    <xdr:to>
      <xdr:col>18</xdr:col>
      <xdr:colOff>205740</xdr:colOff>
      <xdr:row>11</xdr:row>
      <xdr:rowOff>160020</xdr:rowOff>
    </xdr:to>
    <xdr:graphicFrame macro="">
      <xdr:nvGraphicFramePr>
        <xdr:cNvPr id="11" name="Chart 10">
          <a:extLst>
            <a:ext uri="{FF2B5EF4-FFF2-40B4-BE49-F238E27FC236}">
              <a16:creationId xmlns:a16="http://schemas.microsoft.com/office/drawing/2014/main" id="{E4698342-D3F4-4317-9077-C2C63E8EFE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18</xdr:col>
      <xdr:colOff>266700</xdr:colOff>
      <xdr:row>1</xdr:row>
      <xdr:rowOff>15240</xdr:rowOff>
    </xdr:from>
    <xdr:to>
      <xdr:col>21</xdr:col>
      <xdr:colOff>312420</xdr:colOff>
      <xdr:row>11</xdr:row>
      <xdr:rowOff>76200</xdr:rowOff>
    </xdr:to>
    <xdr:graphicFrame macro="">
      <xdr:nvGraphicFramePr>
        <xdr:cNvPr id="20" name="Chart 19">
          <a:extLst>
            <a:ext uri="{FF2B5EF4-FFF2-40B4-BE49-F238E27FC236}">
              <a16:creationId xmlns:a16="http://schemas.microsoft.com/office/drawing/2014/main" id="{23B53A03-8C16-40C8-98A0-0B4F9B68D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18</xdr:col>
      <xdr:colOff>15240</xdr:colOff>
      <xdr:row>11</xdr:row>
      <xdr:rowOff>91440</xdr:rowOff>
    </xdr:from>
    <xdr:to>
      <xdr:col>21</xdr:col>
      <xdr:colOff>426720</xdr:colOff>
      <xdr:row>12</xdr:row>
      <xdr:rowOff>53215</xdr:rowOff>
    </xdr:to>
    <xdr:sp macro="" textlink="">
      <xdr:nvSpPr>
        <xdr:cNvPr id="21" name="TextBox 20">
          <a:extLst>
            <a:ext uri="{FF2B5EF4-FFF2-40B4-BE49-F238E27FC236}">
              <a16:creationId xmlns:a16="http://schemas.microsoft.com/office/drawing/2014/main" id="{5044AC69-08B2-2D2E-B991-5036DE056F40}"/>
            </a:ext>
          </a:extLst>
        </xdr:cNvPr>
        <xdr:cNvSpPr txBox="1"/>
      </xdr:nvSpPr>
      <xdr:spPr>
        <a:xfrm>
          <a:off x="109880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Gender Analysis</a:t>
          </a:r>
        </a:p>
      </xdr:txBody>
    </xdr:sp>
    <xdr:clientData/>
  </xdr:twoCellAnchor>
  <xdr:twoCellAnchor>
    <xdr:from>
      <xdr:col>15</xdr:col>
      <xdr:colOff>53340</xdr:colOff>
      <xdr:row>13</xdr:row>
      <xdr:rowOff>30480</xdr:rowOff>
    </xdr:from>
    <xdr:to>
      <xdr:col>21</xdr:col>
      <xdr:colOff>510540</xdr:colOff>
      <xdr:row>23</xdr:row>
      <xdr:rowOff>121920</xdr:rowOff>
    </xdr:to>
    <xdr:graphicFrame macro="">
      <xdr:nvGraphicFramePr>
        <xdr:cNvPr id="22" name="Chart 21">
          <a:extLst>
            <a:ext uri="{FF2B5EF4-FFF2-40B4-BE49-F238E27FC236}">
              <a16:creationId xmlns:a16="http://schemas.microsoft.com/office/drawing/2014/main" id="{B190158C-8914-4D50-82DF-873CBD756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15</xdr:col>
      <xdr:colOff>533400</xdr:colOff>
      <xdr:row>23</xdr:row>
      <xdr:rowOff>106680</xdr:rowOff>
    </xdr:from>
    <xdr:to>
      <xdr:col>20</xdr:col>
      <xdr:colOff>487680</xdr:colOff>
      <xdr:row>24</xdr:row>
      <xdr:rowOff>104619</xdr:rowOff>
    </xdr:to>
    <xdr:sp macro="" textlink="">
      <xdr:nvSpPr>
        <xdr:cNvPr id="23" name="TextBox 22">
          <a:extLst>
            <a:ext uri="{FF2B5EF4-FFF2-40B4-BE49-F238E27FC236}">
              <a16:creationId xmlns:a16="http://schemas.microsoft.com/office/drawing/2014/main" id="{3E2F0ACE-35DF-42F4-EA62-7C9F540AE199}"/>
            </a:ext>
          </a:extLst>
        </xdr:cNvPr>
        <xdr:cNvSpPr txBox="1"/>
      </xdr:nvSpPr>
      <xdr:spPr>
        <a:xfrm>
          <a:off x="967740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Number</a:t>
          </a:r>
          <a:r>
            <a:rPr lang="en-IN" sz="1000" baseline="0">
              <a:solidFill>
                <a:schemeClr val="tx1"/>
              </a:solidFill>
              <a:latin typeface="Arial Black" panose="020B0A04020102020204" pitchFamily="34" charset="0"/>
            </a:rPr>
            <a:t> of Patient By Department Referal</a:t>
          </a:r>
          <a:endParaRPr lang="en-IN" sz="1000">
            <a:solidFill>
              <a:schemeClr val="tx1"/>
            </a:solidFill>
            <a:latin typeface="Arial Black" panose="020B0A04020102020204" pitchFamily="34" charset="0"/>
          </a:endParaRPr>
        </a:p>
      </xdr:txBody>
    </xdr:sp>
    <xdr:clientData/>
  </xdr:twoCellAnchor>
  <xdr:twoCellAnchor editAs="absolute">
    <xdr:from>
      <xdr:col>11</xdr:col>
      <xdr:colOff>358140</xdr:colOff>
      <xdr:row>1</xdr:row>
      <xdr:rowOff>0</xdr:rowOff>
    </xdr:from>
    <xdr:to>
      <xdr:col>14</xdr:col>
      <xdr:colOff>449580</xdr:colOff>
      <xdr:row>6</xdr:row>
      <xdr:rowOff>60960</xdr:rowOff>
    </xdr:to>
    <mc:AlternateContent xmlns:mc="http://schemas.openxmlformats.org/markup-compatibility/2006" xmlns:a14="http://schemas.microsoft.com/office/drawing/2010/main">
      <mc:Choice Requires="a14">
        <xdr:graphicFrame macro="">
          <xdr:nvGraphicFramePr>
            <xdr:cNvPr id="30" name="Date (Year)">
              <a:extLst>
                <a:ext uri="{FF2B5EF4-FFF2-40B4-BE49-F238E27FC236}">
                  <a16:creationId xmlns:a16="http://schemas.microsoft.com/office/drawing/2014/main" id="{B2E1C2E6-DBB8-43D6-B566-76579A534C64}"/>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7063740" y="182880"/>
              <a:ext cx="1920240" cy="975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160020</xdr:colOff>
      <xdr:row>9</xdr:row>
      <xdr:rowOff>114300</xdr:rowOff>
    </xdr:from>
    <xdr:to>
      <xdr:col>10</xdr:col>
      <xdr:colOff>571500</xdr:colOff>
      <xdr:row>10</xdr:row>
      <xdr:rowOff>112239</xdr:rowOff>
    </xdr:to>
    <xdr:sp macro="" textlink="">
      <xdr:nvSpPr>
        <xdr:cNvPr id="33" name="TextBox 32">
          <a:extLst>
            <a:ext uri="{FF2B5EF4-FFF2-40B4-BE49-F238E27FC236}">
              <a16:creationId xmlns:a16="http://schemas.microsoft.com/office/drawing/2014/main" id="{C405E11D-6E1E-57A2-E108-66FBC778B4AB}"/>
            </a:ext>
          </a:extLst>
        </xdr:cNvPr>
        <xdr:cNvSpPr txBox="1"/>
      </xdr:nvSpPr>
      <xdr:spPr>
        <a:xfrm>
          <a:off x="442722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baseline="0">
              <a:solidFill>
                <a:schemeClr val="tx1"/>
              </a:solidFill>
              <a:latin typeface="Arial Black" panose="020B0A04020102020204" pitchFamily="34" charset="0"/>
            </a:rPr>
            <a:t>Average Patient Wait Time</a:t>
          </a:r>
          <a:endParaRPr lang="en-IN" sz="1000">
            <a:solidFill>
              <a:schemeClr val="tx1"/>
            </a:solidFill>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601980</xdr:colOff>
      <xdr:row>0</xdr:row>
      <xdr:rowOff>106680</xdr:rowOff>
    </xdr:from>
    <xdr:to>
      <xdr:col>22</xdr:col>
      <xdr:colOff>160020</xdr:colOff>
      <xdr:row>24</xdr:row>
      <xdr:rowOff>144780</xdr:rowOff>
    </xdr:to>
    <xdr:graphicFrame macro="">
      <xdr:nvGraphicFramePr>
        <xdr:cNvPr id="3" name="Chart 2">
          <a:extLst>
            <a:ext uri="{FF2B5EF4-FFF2-40B4-BE49-F238E27FC236}">
              <a16:creationId xmlns:a16="http://schemas.microsoft.com/office/drawing/2014/main" id="{2A1D3992-EBEA-417B-9F1B-17E2314C3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71718</xdr:colOff>
      <xdr:row>2</xdr:row>
      <xdr:rowOff>125507</xdr:rowOff>
    </xdr:from>
    <xdr:to>
      <xdr:col>3</xdr:col>
      <xdr:colOff>376518</xdr:colOff>
      <xdr:row>7</xdr:row>
      <xdr:rowOff>125506</xdr:rowOff>
    </xdr:to>
    <xdr:pic>
      <xdr:nvPicPr>
        <xdr:cNvPr id="5" name="Graphic 4" descr="House with solid fill">
          <a:hlinkClick xmlns:r="http://schemas.openxmlformats.org/officeDocument/2006/relationships" r:id="rId2"/>
          <a:extLst>
            <a:ext uri="{FF2B5EF4-FFF2-40B4-BE49-F238E27FC236}">
              <a16:creationId xmlns:a16="http://schemas.microsoft.com/office/drawing/2014/main" id="{D0E13A92-CEA2-DB92-0638-3AE6CDF9D1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0918" y="484095"/>
          <a:ext cx="914400" cy="8964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129540</xdr:colOff>
      <xdr:row>2</xdr:row>
      <xdr:rowOff>7620</xdr:rowOff>
    </xdr:from>
    <xdr:to>
      <xdr:col>18</xdr:col>
      <xdr:colOff>205740</xdr:colOff>
      <xdr:row>24</xdr:row>
      <xdr:rowOff>22860</xdr:rowOff>
    </xdr:to>
    <xdr:graphicFrame macro="">
      <xdr:nvGraphicFramePr>
        <xdr:cNvPr id="3" name="Chart 2">
          <a:extLst>
            <a:ext uri="{FF2B5EF4-FFF2-40B4-BE49-F238E27FC236}">
              <a16:creationId xmlns:a16="http://schemas.microsoft.com/office/drawing/2014/main" id="{4B1060ED-AB76-4102-8B98-324032DDE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533400</xdr:colOff>
      <xdr:row>4</xdr:row>
      <xdr:rowOff>7620</xdr:rowOff>
    </xdr:from>
    <xdr:to>
      <xdr:col>17</xdr:col>
      <xdr:colOff>228600</xdr:colOff>
      <xdr:row>9</xdr:row>
      <xdr:rowOff>7619</xdr:rowOff>
    </xdr:to>
    <xdr:pic>
      <xdr:nvPicPr>
        <xdr:cNvPr id="4" name="Graphic 3" descr="House with solid fill">
          <a:hlinkClick xmlns:r="http://schemas.openxmlformats.org/officeDocument/2006/relationships" r:id="rId2"/>
          <a:extLst>
            <a:ext uri="{FF2B5EF4-FFF2-40B4-BE49-F238E27FC236}">
              <a16:creationId xmlns:a16="http://schemas.microsoft.com/office/drawing/2014/main" id="{B374ECDF-3EAD-45B2-9952-5F8015B51C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677400" y="739140"/>
          <a:ext cx="914400" cy="914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365760</xdr:colOff>
      <xdr:row>2</xdr:row>
      <xdr:rowOff>7620</xdr:rowOff>
    </xdr:from>
    <xdr:to>
      <xdr:col>19</xdr:col>
      <xdr:colOff>388620</xdr:colOff>
      <xdr:row>23</xdr:row>
      <xdr:rowOff>38100</xdr:rowOff>
    </xdr:to>
    <xdr:graphicFrame macro="">
      <xdr:nvGraphicFramePr>
        <xdr:cNvPr id="2" name="Chart 1">
          <a:extLst>
            <a:ext uri="{FF2B5EF4-FFF2-40B4-BE49-F238E27FC236}">
              <a16:creationId xmlns:a16="http://schemas.microsoft.com/office/drawing/2014/main" id="{937D11E3-C502-40C5-8DB5-DEE17EA0F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129540</xdr:colOff>
      <xdr:row>4</xdr:row>
      <xdr:rowOff>7620</xdr:rowOff>
    </xdr:from>
    <xdr:to>
      <xdr:col>5</xdr:col>
      <xdr:colOff>434340</xdr:colOff>
      <xdr:row>9</xdr:row>
      <xdr:rowOff>7619</xdr:rowOff>
    </xdr:to>
    <xdr:pic>
      <xdr:nvPicPr>
        <xdr:cNvPr id="3" name="Graphic 2" descr="House with solid fill">
          <a:hlinkClick xmlns:r="http://schemas.openxmlformats.org/officeDocument/2006/relationships" r:id="rId2"/>
          <a:extLst>
            <a:ext uri="{FF2B5EF4-FFF2-40B4-BE49-F238E27FC236}">
              <a16:creationId xmlns:a16="http://schemas.microsoft.com/office/drawing/2014/main" id="{A5D1CB06-4031-4C5A-A230-EF1A4F82E65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67940" y="739140"/>
          <a:ext cx="914400" cy="91439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3680556" createdVersion="5" refreshedVersion="8" minRefreshableVersion="3" recordCount="0" supportSubquery="1" supportAdvancedDrill="1" xr:uid="{4D4D977F-D25F-4FCD-8F07-14E2803D3566}">
  <cacheSource type="external" connectionId="3"/>
  <cacheFields count="1">
    <cacheField name="[Query1].[Date (Year)].[Date (Year)]" caption="Date (Year)" numFmtId="0" hierarchy="14" level="1">
      <sharedItems count="2">
        <s v="2023"/>
        <s v="2024"/>
      </sharedItems>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2"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2"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cacheHierarchy uniqueName="[Query1].[Date]" caption="Date" attribute="1" time="1" defaultMemberUniqueName="[Query1].[Date].[All]" allUniqueName="[Query1].[Date].[All]" dimensionUniqueName="[Query1]" displayFolder="" count="2"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0"/>
      </fieldsUsage>
    </cacheHierarchy>
    <cacheHierarchy uniqueName="[Query1].[Date (Quarter)]" caption="Date (Quarter)" attribute="1" defaultMemberUniqueName="[Query1].[Date (Quarter)].[All]" allUniqueName="[Query1].[Date (Quarter)].[All]" dimensionUniqueName="[Query1]" displayFolder="" count="2"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2"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5069442"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6574073" createdVersion="5" refreshedVersion="8" minRefreshableVersion="3" recordCount="0" supportSubquery="1" supportAdvancedDrill="1" xr:uid="{2476B31E-495E-498C-95AC-97315CC5CBBC}">
  <cacheSource type="external" connectionId="3"/>
  <cacheFields count="3">
    <cacheField name="[Measures].[Count of Patient Id]" caption="Count of Patient Id" numFmtId="0" hierarchy="22" level="32767"/>
    <cacheField name="[Hospital Emergency Room Data].[Patient Gender].[Patient Gender]" caption="Patient Gender" numFmtId="0" hierarchy="4" level="1">
      <sharedItems count="2">
        <s v="Female"/>
        <s v="Mal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8425928" createdVersion="5" refreshedVersion="8" minRefreshableVersion="3" recordCount="0" supportSubquery="1" supportAdvancedDrill="1" xr:uid="{C3858D63-EC49-439E-A589-5D43563D29E9}">
  <cacheSource type="external" connectionId="3"/>
  <cacheFields count="3">
    <cacheField name="[Hospital Emergency Room Data].[Department Referral].[Department Referral]" caption="Department Referral" numFmtId="0" hierarchy="7" level="1">
      <sharedItems count="8">
        <s v="Cardiology"/>
        <s v="Gastroenterology"/>
        <s v="General Practice"/>
        <s v="Neurology"/>
        <s v="None"/>
        <s v="Orthopedics"/>
        <s v="Physiotherapy"/>
        <s v="Renal"/>
      </sharedItems>
    </cacheField>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0"/>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9930553"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1666669"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3402778" createdVersion="5" refreshedVersion="8" minRefreshableVersion="3" recordCount="0" supportSubquery="1" supportAdvancedDrill="1" xr:uid="{41C754C7-B0F9-46DA-8041-2DFA72A1B682}">
  <cacheSource type="external" connectionId="3"/>
  <cacheFields count="3">
    <cacheField name="[Measures].[Count of Patient Id]" caption="Count of Patient Id" numFmtId="0" hierarchy="22" level="32767"/>
    <cacheField name="[Query1].[Date (Month)].[Date (Month)]" caption="Date (Month)" numFmtId="0" hierarchy="16" level="1">
      <sharedItems count="12">
        <s v="Jan"/>
        <s v="Feb"/>
        <s v="Mar"/>
        <s v="Apr"/>
        <s v="May"/>
        <s v="Jun"/>
        <s v="Jul"/>
        <s v="Aug"/>
        <s v="Sep"/>
        <s v="Oct"/>
        <s v="Nov"/>
        <s v="Dec"/>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5254633" createdVersion="5" refreshedVersion="8" minRefreshableVersion="3" recordCount="0" supportSubquery="1" supportAdvancedDrill="1" xr:uid="{D506A8AE-F2E5-4265-B1F4-102B3F1D1F8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7222219" createdVersion="5" refreshedVersion="8" minRefreshableVersion="3" recordCount="0" supportSubquery="1" supportAdvancedDrill="1" xr:uid="{99ED3F4B-C731-49D0-9D1C-5C14B608CAA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8611112" createdVersion="5" refreshedVersion="8" minRefreshableVersion="3" recordCount="0" supportSubquery="1" supportAdvancedDrill="1" xr:uid="{A2F6FED0-4993-4A6F-92DA-725C874827EE}">
  <cacheSource type="external" connectionId="3"/>
  <cacheFields count="4">
    <cacheField name="[Hospital Emergency Room Data].[Patient Admission Flag].[Patient Admission Flag]" caption="Patient Admission Flag" numFmtId="0" hierarchy="8" level="1">
      <sharedItems count="2">
        <s v="Admitted"/>
        <s v="Not Admitted"/>
      </sharedItems>
    </cacheField>
    <cacheField name="[Measures].[Count of Patient Admission Flag]" caption="Count of Patient Admission Flag" numFmtId="0" hierarchy="27" level="32767"/>
    <cacheField name="[Query1].[Date (Year)].[Date (Year)]" caption="Date (Year)" numFmtId="0" hierarchy="14" level="1">
      <sharedItems containsSemiMixedTypes="0" containsNonDate="0" containsString="0"/>
    </cacheField>
    <cacheField name="Unsupported0" numFmtId="0" hierarchy="29" level="32767">
      <extLst>
        <ext xmlns:x14="http://schemas.microsoft.com/office/spreadsheetml/2009/9/main" uri="{63CAB8AC-B538-458d-9737-405883B0398D}">
          <x14:cacheField ignore="1"/>
        </ext>
      </extLst>
    </cacheField>
  </cacheFields>
  <cacheHierarchies count="3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y uniqueName="Unsupported0" caption="Patient Id" measure="1" count="0">
      <extLst>
        <ext xmlns:x14="http://schemas.microsoft.com/office/spreadsheetml/2009/9/main" uri="{8CF416AD-EC4C-4aba-99F5-12A058AE0983}">
          <x14:cacheHierarchy ignore="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9305559" createdVersion="5" refreshedVersion="8" minRefreshableVersion="3" recordCount="0" supportSubquery="1" supportAdvancedDrill="1" xr:uid="{3B376B9D-ACFB-4E97-B438-ACDD335A10A9}">
  <cacheSource type="external" connectionId="3"/>
  <cacheFields count="3">
    <cacheField name="[Hospital Emergency Room Data].[Age Groups].[Age Groups]" caption="Age Groups" numFmtId="0" hierarchy="11" level="1">
      <sharedItems count="8">
        <s v="0-09"/>
        <s v="10-19"/>
        <s v="20-29"/>
        <s v="30-39"/>
        <s v="40-49"/>
        <s v="50-59"/>
        <s v="60-69"/>
        <s v="70-79"/>
      </sharedItems>
    </cacheField>
    <cacheField name="[Measures].[Count of Age Groups]" caption="Count of Age Groups" numFmtId="0" hierarchy="28"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0"/>
      </fieldsUsage>
    </cacheHierarchy>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oneField="1" hidden="1">
      <fieldsUsage count="1">
        <fieldUsage x="1"/>
      </fieldsUsage>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50810183" createdVersion="5" refreshedVersion="8" minRefreshableVersion="3" recordCount="0" supportSubquery="1" supportAdvancedDrill="1" xr:uid="{7D6B12FA-90B8-447F-B994-A040D5C38BA9}">
  <cacheSource type="external" connectionId="3"/>
  <cacheFields count="3">
    <cacheField name="[Measures].[Count of Patient Id]" caption="Count of Patient Id" numFmtId="0" hierarchy="22" level="32767"/>
    <cacheField name="[Hospital Emergency Room Data].[Patient Attain Status].[Patient Attain Status]" caption="Patient Attain Status" numFmtId="0" hierarchy="12" level="1">
      <sharedItems count="2">
        <s v="Delay"/>
        <s v="Ontim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fieldsUsage count="2">
        <fieldUsage x="-1"/>
        <fieldUsage x="1"/>
      </fieldsUsage>
    </cacheHierarchy>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02165509258" createdVersion="3" refreshedVersion="8" minRefreshableVersion="3" recordCount="0" supportSubquery="1" supportAdvancedDrill="1" xr:uid="{FECE20EB-0012-4DF4-8C0A-E537E5BCADE4}">
  <cacheSource type="external" connectionId="3">
    <extLst>
      <ext xmlns:x14="http://schemas.microsoft.com/office/spreadsheetml/2009/9/main" uri="{F057638F-6D5F-4e77-A914-E7F072B9BCA8}">
        <x14:sourceConnection name="ThisWorkbookDataModel"/>
      </ext>
    </extLst>
  </cacheSource>
  <cacheFields count="0"/>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57286275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4"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0">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5BA773-1F26-409B-B08F-DE2795D0212E}" name="PivotTable8" cacheId="10" applyNumberFormats="0" applyBorderFormats="0" applyFontFormats="0" applyPatternFormats="0" applyAlignmentFormats="0" applyWidthHeightFormats="1" dataCaption="Values" tag="e0336aa5-0529-4ff7-bd6b-7bf7daf10762" updatedVersion="8" minRefreshableVersion="3" useAutoFormatting="1" subtotalHiddenItems="1" itemPrintTitles="1" createdVersion="5" indent="0" outline="1" outlineData="1" multipleFieldFilters="0" chartFormat="4">
  <location ref="H42:I51"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Count of Age Groups" fld="1" subtotal="count" baseField="0" baseItem="0"/>
  </dataFields>
  <formats count="1">
    <format dxfId="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5"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2">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7E452C9-809D-47A9-AD1A-EF29A8A611A4}" name="PivotTable12" cacheId="3" applyNumberFormats="0" applyBorderFormats="0" applyFontFormats="0" applyPatternFormats="0" applyAlignmentFormats="0" applyWidthHeightFormats="1" dataCaption="Values" tag="3852214e-d389-4ec0-8631-6bb7189a1872" updatedVersion="8" minRefreshableVersion="3" useAutoFormatting="1" subtotalHiddenItems="1" itemPrintTitles="1" createdVersion="5" indent="0" outline="1" outlineData="1" multipleFieldFilters="0" chartFormat="9">
  <location ref="K42:L51" firstHeaderRow="1" firstDataRow="1" firstDataCol="1"/>
  <pivotFields count="3">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7"/>
    </i>
    <i>
      <x v="1"/>
    </i>
    <i>
      <x v="3"/>
    </i>
    <i>
      <x/>
    </i>
    <i>
      <x v="6"/>
    </i>
    <i>
      <x v="5"/>
    </i>
    <i>
      <x v="2"/>
    </i>
    <i>
      <x v="4"/>
    </i>
    <i t="grand">
      <x/>
    </i>
  </rowItems>
  <colItems count="1">
    <i/>
  </colItems>
  <dataFields count="1">
    <dataField name="Count of Patient Id" fld="1" subtotal="count" baseField="0" baseItem="0"/>
  </dataFields>
  <formats count="2">
    <format dxfId="4">
      <pivotArea outline="0" collapsedLevelsAreSubtotals="1" fieldPosition="0"/>
    </format>
    <format dxfId="3">
      <pivotArea collapsedLevelsAreSubtotals="1" fieldPosition="0">
        <references count="1">
          <reference field="0" count="0"/>
        </references>
      </pivotArea>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6" applyNumberFormats="0" applyBorderFormats="0" applyFontFormats="0" applyPatternFormats="0" applyAlignmentFormats="0" applyWidthHeightFormats="1" dataCaption="Values" tag="00f717fe-0a57-4f8a-a824-4fa686b57e99" updatedVersion="8" minRefreshableVersion="3" useAutoFormatting="1" subtotalHiddenItems="1" itemPrintTitles="1" createdVersion="5" indent="0" outline="1" outlineData="1" multipleFieldFilters="0" chartFormat="24">
  <location ref="C3:D16"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1" applyNumberFormats="0" applyBorderFormats="0" applyFontFormats="0" applyPatternFormats="0" applyAlignmentFormats="0" applyWidthHeightFormats="1" dataCaption="Values" tag="659e3c8c-ba66-4ce6-83a1-e88b767d003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347EDA-FCA0-4BA2-A39E-A3B6DED5EA32}" name="PivotTable6" cacheId="8" applyNumberFormats="0" applyBorderFormats="0" applyFontFormats="0" applyPatternFormats="0" applyAlignmentFormats="0" applyWidthHeightFormats="1" dataCaption="Values" tag="fdf51767-e563-45f4-84be-325d364407c0" updatedVersion="8" minRefreshableVersion="3" useAutoFormatting="1" subtotalHiddenItems="1" itemPrintTitles="1" createdVersion="5" indent="0" outline="1" outlineData="1" multipleFieldFilters="0" chartFormat="41">
  <location ref="B22:C3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Satisfaction Score" fld="1" subtotal="average" baseField="0" baseItem="0"/>
  </dataFields>
  <formats count="1">
    <format dxfId="5">
      <pivotArea outline="0" collapsedLevelsAreSubtotals="1" fieldPosition="0"/>
    </format>
  </formats>
  <chartFormats count="3">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9309A4E-A0A7-4E11-8F25-4B380292B3E7}" name="PivotTable11" cacheId="0"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A50:A53" firstHeaderRow="1" firstDataRow="1" firstDataCol="1"/>
  <pivotFields count="1">
    <pivotField axis="axisRow" allDrilled="1" subtotalTop="0" showAll="0" defaultSubtotal="0" defaultAttributeDrillState="1">
      <items count="2">
        <item x="1"/>
        <item x="0"/>
      </items>
    </pivotField>
  </pivotFields>
  <rowFields count="1">
    <field x="0"/>
  </rowFields>
  <rowItems count="3">
    <i>
      <x/>
    </i>
    <i>
      <x v="1"/>
    </i>
    <i t="grand">
      <x/>
    </i>
  </rowItems>
  <formats count="1">
    <format dxfId="6">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EFBC37-1EEE-45FC-9FA9-0E0EDE271D50}" name="PivotTable10" cacheId="2"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D37:E40"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8">
      <pivotArea outline="0" collapsedLevelsAreSubtotals="1" fieldPosition="0"/>
    </format>
    <format dxfId="7">
      <pivotArea collapsedLevelsAreSubtotals="1" fieldPosition="0">
        <references count="1">
          <reference field="1" count="0"/>
        </references>
      </pivotArea>
    </format>
  </formats>
  <chartFormats count="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 count="1" selected="0">
            <x v="0"/>
          </reference>
        </references>
      </pivotArea>
    </chartFormat>
    <chartFormat chart="10"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F4B8D6C-509C-47A3-BC73-1EC1D6C18005}" name="PivotTable7" cacheId="9" applyNumberFormats="0" applyBorderFormats="0" applyFontFormats="0" applyPatternFormats="0" applyAlignmentFormats="0" applyWidthHeightFormats="1" dataCaption="Values" tag="82acf137-142d-4892-a930-d927ecac4cf1" updatedVersion="8" minRefreshableVersion="3" subtotalHiddenItems="1" itemPrintTitles="1" createdVersion="5" indent="0" outline="1" outlineData="1" multipleFieldFilters="0" chartFormat="20">
  <location ref="H24:J27"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dataField name="Percentage"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10">
      <pivotArea outline="0" collapsedLevelsAreSubtotals="1" fieldPosition="0"/>
    </format>
    <format dxfId="9">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caption="Percentage"/>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37A0CA-7F37-4615-8755-9445FA60E56D}" name="PivotTable9" cacheId="11" applyNumberFormats="0" applyBorderFormats="0" applyFontFormats="0" applyPatternFormats="0" applyAlignmentFormats="0" applyWidthHeightFormats="1" dataCaption="Values" tag="35aa0fa4-cf5a-448d-9463-a5c3d33073bb" updatedVersion="8" minRefreshableVersion="3" useAutoFormatting="1" subtotalHiddenItems="1" itemPrintTitles="1" createdVersion="5" indent="0" outline="1" outlineData="1" multipleFieldFilters="0" chartFormat="5">
  <location ref="B42:C45"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12">
      <pivotArea outline="0" collapsedLevelsAreSubtotals="1" fieldPosition="0"/>
    </format>
    <format dxfId="11">
      <pivotArea collapsedLevelsAreSubtotals="1" fieldPosition="0">
        <references count="1">
          <reference field="1" count="0"/>
        </references>
      </pivotArea>
    </format>
  </format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359646-5B3B-459E-A27B-3AF0FFB19794}" name="PivotTable5" cacheId="7"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31">
  <location ref="I3:J16"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Waittime" fld="1" subtotal="average" baseField="0" baseItem="0" numFmtId="2"/>
  </dataFields>
  <formats count="1">
    <format dxfId="13">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2"/>
    <pivotTable tabId="1" name="PivotTable11"/>
  </pivotTables>
  <data>
    <olap pivotCacheId="572862752">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5BC1D473-0D36-4C42-9EC6-D8CB2BC48209}" sourceName="[Query1].[Date (Year)]">
  <pivotTables>
    <pivotTable tabId="1" name="PivotTable11"/>
    <pivotTable tabId="1" name="PivotTable1"/>
    <pivotTable tabId="1" name="PivotTable10"/>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572862752">
      <levels count="2">
        <level uniqueName="[Query1].[Date (Year)].[(All)]" sourceCaption="(All)" count="0"/>
        <level uniqueName="[Query1].[Date (Year)].[Date (Year)]" sourceCaption="Date (Year)" count="2">
          <ranges>
            <range startItem="0">
              <i n="[Query1].[Date (Year)].&amp;[2023]" c="2023"/>
              <i n="[Query1].[Date (Year)].&amp;[2024]" c="2024"/>
            </range>
          </ranges>
        </level>
      </levels>
      <selections count="1">
        <selection n="[Query1].[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level="1" style="SlicerStyleLight1 2" rowHeight="411480"/>
  <slicer name="Date (Year)" xr10:uid="{43B13A36-DD0B-421F-8B15-2F2C2C08E357}" cache="Slicer_Date__Year" level="1" style="SlicerStyleLight1 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L53"/>
  <sheetViews>
    <sheetView topLeftCell="A30" zoomScaleNormal="100" workbookViewId="0">
      <selection activeCell="A51" sqref="A51"/>
    </sheetView>
  </sheetViews>
  <sheetFormatPr defaultRowHeight="14.4" x14ac:dyDescent="0.3"/>
  <cols>
    <col min="1" max="1" width="31.77734375" bestFit="1" customWidth="1"/>
    <col min="2" max="2" width="12.44140625" bestFit="1" customWidth="1"/>
    <col min="3" max="5" width="16.21875" bestFit="1" customWidth="1"/>
    <col min="6" max="7" width="4.109375" bestFit="1" customWidth="1"/>
    <col min="8" max="8" width="12.44140625" bestFit="1" customWidth="1"/>
    <col min="9" max="9" width="19.21875" bestFit="1" customWidth="1"/>
    <col min="10" max="10" width="24.21875" bestFit="1" customWidth="1"/>
    <col min="11" max="11" width="14.88671875" bestFit="1" customWidth="1"/>
    <col min="12" max="12" width="16.21875" bestFit="1" customWidth="1"/>
    <col min="13" max="13" width="4.109375" bestFit="1" customWidth="1"/>
    <col min="14" max="14" width="12.44140625" bestFit="1" customWidth="1"/>
    <col min="15" max="15" width="24.3320312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10" x14ac:dyDescent="0.3">
      <c r="A3" t="s">
        <v>0</v>
      </c>
      <c r="C3" s="2" t="s">
        <v>4</v>
      </c>
      <c r="D3" t="s">
        <v>0</v>
      </c>
      <c r="I3" s="2" t="s">
        <v>4</v>
      </c>
      <c r="J3" t="s">
        <v>1</v>
      </c>
    </row>
    <row r="4" spans="1:10" x14ac:dyDescent="0.3">
      <c r="A4">
        <v>9216</v>
      </c>
      <c r="C4" s="3" t="s">
        <v>34</v>
      </c>
      <c r="D4">
        <v>513</v>
      </c>
      <c r="I4" s="3" t="s">
        <v>34</v>
      </c>
      <c r="J4" s="5">
        <v>36.323586744639378</v>
      </c>
    </row>
    <row r="5" spans="1:10" x14ac:dyDescent="0.3">
      <c r="C5" s="3" t="s">
        <v>36</v>
      </c>
      <c r="D5">
        <v>431</v>
      </c>
      <c r="I5" s="3" t="s">
        <v>36</v>
      </c>
      <c r="J5" s="5">
        <v>36.670533642691417</v>
      </c>
    </row>
    <row r="6" spans="1:10" x14ac:dyDescent="0.3">
      <c r="A6" t="s">
        <v>1</v>
      </c>
      <c r="C6" s="3" t="s">
        <v>35</v>
      </c>
      <c r="D6">
        <v>506</v>
      </c>
      <c r="I6" s="3" t="s">
        <v>35</v>
      </c>
      <c r="J6" s="5">
        <v>35.879446640316203</v>
      </c>
    </row>
    <row r="7" spans="1:10" x14ac:dyDescent="0.3">
      <c r="A7" s="5">
        <v>35.259874131944443</v>
      </c>
      <c r="C7" s="3" t="s">
        <v>37</v>
      </c>
      <c r="D7">
        <v>948</v>
      </c>
      <c r="I7" s="3" t="s">
        <v>37</v>
      </c>
      <c r="J7" s="5">
        <v>34.972573839662445</v>
      </c>
    </row>
    <row r="8" spans="1:10" x14ac:dyDescent="0.3">
      <c r="C8" s="3" t="s">
        <v>38</v>
      </c>
      <c r="D8">
        <v>999</v>
      </c>
      <c r="I8" s="3" t="s">
        <v>38</v>
      </c>
      <c r="J8" s="5">
        <v>35.146146146146144</v>
      </c>
    </row>
    <row r="9" spans="1:10" x14ac:dyDescent="0.3">
      <c r="A9" t="s">
        <v>2</v>
      </c>
      <c r="C9" s="3" t="s">
        <v>5</v>
      </c>
      <c r="D9">
        <v>991</v>
      </c>
      <c r="I9" s="3" t="s">
        <v>5</v>
      </c>
      <c r="J9" s="5">
        <v>35.544904137235115</v>
      </c>
    </row>
    <row r="10" spans="1:10" x14ac:dyDescent="0.3">
      <c r="A10" s="5">
        <v>4.9920540325784666</v>
      </c>
      <c r="C10" s="3" t="s">
        <v>39</v>
      </c>
      <c r="D10">
        <v>952</v>
      </c>
      <c r="I10" s="3" t="s">
        <v>39</v>
      </c>
      <c r="J10" s="5">
        <v>34.965336134453779</v>
      </c>
    </row>
    <row r="11" spans="1:10" x14ac:dyDescent="0.3">
      <c r="C11" s="3" t="s">
        <v>40</v>
      </c>
      <c r="D11">
        <v>1024</v>
      </c>
      <c r="I11" s="3" t="s">
        <v>40</v>
      </c>
      <c r="J11" s="5">
        <v>35.73046875</v>
      </c>
    </row>
    <row r="12" spans="1:10" x14ac:dyDescent="0.3">
      <c r="C12" s="3" t="s">
        <v>41</v>
      </c>
      <c r="D12">
        <v>935</v>
      </c>
      <c r="I12" s="3" t="s">
        <v>41</v>
      </c>
      <c r="J12" s="5">
        <v>34.663101604278076</v>
      </c>
    </row>
    <row r="13" spans="1:10" x14ac:dyDescent="0.3">
      <c r="C13" s="3" t="s">
        <v>42</v>
      </c>
      <c r="D13">
        <v>964</v>
      </c>
      <c r="I13" s="3" t="s">
        <v>42</v>
      </c>
      <c r="J13" s="5">
        <v>34.502074688796682</v>
      </c>
    </row>
    <row r="14" spans="1:10" x14ac:dyDescent="0.3">
      <c r="C14" s="3" t="s">
        <v>43</v>
      </c>
      <c r="D14">
        <v>464</v>
      </c>
      <c r="I14" s="3" t="s">
        <v>43</v>
      </c>
      <c r="J14" s="5">
        <v>35.185344827586206</v>
      </c>
    </row>
    <row r="15" spans="1:10" x14ac:dyDescent="0.3">
      <c r="C15" s="3" t="s">
        <v>44</v>
      </c>
      <c r="D15">
        <v>489</v>
      </c>
      <c r="I15" s="3" t="s">
        <v>44</v>
      </c>
      <c r="J15" s="5">
        <v>34.764826175869118</v>
      </c>
    </row>
    <row r="16" spans="1:10" x14ac:dyDescent="0.3">
      <c r="C16" s="3" t="s">
        <v>3</v>
      </c>
      <c r="D16">
        <v>9216</v>
      </c>
      <c r="I16" s="3" t="s">
        <v>3</v>
      </c>
      <c r="J16" s="5">
        <v>35.259874131944443</v>
      </c>
    </row>
    <row r="22" spans="2:12" x14ac:dyDescent="0.3">
      <c r="B22" s="2" t="s">
        <v>4</v>
      </c>
      <c r="C22" t="s">
        <v>2</v>
      </c>
    </row>
    <row r="23" spans="2:12" x14ac:dyDescent="0.3">
      <c r="B23" s="3" t="s">
        <v>34</v>
      </c>
      <c r="C23" s="5">
        <v>4.9591836734693882</v>
      </c>
    </row>
    <row r="24" spans="2:12" x14ac:dyDescent="0.3">
      <c r="B24" s="3" t="s">
        <v>36</v>
      </c>
      <c r="C24" s="5">
        <v>4.7154471544715451</v>
      </c>
      <c r="H24" s="2" t="s">
        <v>4</v>
      </c>
      <c r="I24" t="s">
        <v>8</v>
      </c>
      <c r="J24" t="s">
        <v>9</v>
      </c>
    </row>
    <row r="25" spans="2:12" x14ac:dyDescent="0.3">
      <c r="B25" s="3" t="s">
        <v>35</v>
      </c>
      <c r="C25" s="5">
        <v>5.3277310924369745</v>
      </c>
      <c r="H25" s="3" t="s">
        <v>6</v>
      </c>
      <c r="I25" s="5">
        <v>4612</v>
      </c>
      <c r="J25" s="7">
        <v>0.50043402777777779</v>
      </c>
    </row>
    <row r="26" spans="2:12" x14ac:dyDescent="0.3">
      <c r="B26" s="3" t="s">
        <v>37</v>
      </c>
      <c r="C26" s="5">
        <v>4.9889298892988929</v>
      </c>
      <c r="H26" s="3" t="s">
        <v>7</v>
      </c>
      <c r="I26" s="5">
        <v>4604</v>
      </c>
      <c r="J26" s="7">
        <v>0.49956597222222221</v>
      </c>
    </row>
    <row r="27" spans="2:12" x14ac:dyDescent="0.3">
      <c r="B27" s="3" t="s">
        <v>38</v>
      </c>
      <c r="C27" s="5">
        <v>5.1538461538461542</v>
      </c>
      <c r="H27" s="3" t="s">
        <v>3</v>
      </c>
      <c r="I27" s="5">
        <v>9216</v>
      </c>
      <c r="J27" s="7">
        <v>1</v>
      </c>
    </row>
    <row r="28" spans="2:12" x14ac:dyDescent="0.3">
      <c r="B28" s="3" t="s">
        <v>5</v>
      </c>
      <c r="C28" s="5">
        <v>4.947183098591549</v>
      </c>
    </row>
    <row r="29" spans="2:12" ht="15.6" customHeight="1" x14ac:dyDescent="0.3">
      <c r="B29" s="3" t="s">
        <v>39</v>
      </c>
      <c r="C29" s="5">
        <v>4.8773946360153255</v>
      </c>
      <c r="H29" s="8" t="s">
        <v>10</v>
      </c>
      <c r="I29" s="9" t="s">
        <v>12</v>
      </c>
      <c r="J29" s="9" t="s">
        <v>11</v>
      </c>
      <c r="K29" s="9"/>
      <c r="L29" s="9"/>
    </row>
    <row r="30" spans="2:12" ht="16.8" customHeight="1" x14ac:dyDescent="0.3">
      <c r="B30" s="3" t="s">
        <v>40</v>
      </c>
      <c r="C30" s="5">
        <v>5.1166666666666663</v>
      </c>
      <c r="H30" s="9" t="str">
        <f>H26</f>
        <v>Not Admitted</v>
      </c>
      <c r="I30" s="9">
        <f t="shared" ref="I30:J30" si="0">I26</f>
        <v>4604</v>
      </c>
      <c r="J30" s="10">
        <f t="shared" si="0"/>
        <v>0.49956597222222221</v>
      </c>
      <c r="K30" s="9"/>
      <c r="L30" s="9"/>
    </row>
    <row r="31" spans="2:12" ht="16.8" customHeight="1" x14ac:dyDescent="0.3">
      <c r="B31" s="3" t="s">
        <v>41</v>
      </c>
      <c r="C31" s="5">
        <v>4.9465020576131691</v>
      </c>
      <c r="H31" s="9" t="str">
        <f>H25</f>
        <v>Admitted</v>
      </c>
      <c r="I31" s="9">
        <f t="shared" ref="I31:J31" si="1">I25</f>
        <v>4612</v>
      </c>
      <c r="J31" s="10">
        <f t="shared" si="1"/>
        <v>0.50043402777777779</v>
      </c>
      <c r="K31" s="9"/>
      <c r="L31" s="9"/>
    </row>
    <row r="32" spans="2:12" x14ac:dyDescent="0.3">
      <c r="B32" s="3" t="s">
        <v>42</v>
      </c>
      <c r="C32" s="5">
        <v>5.0036496350364965</v>
      </c>
    </row>
    <row r="33" spans="2:12" x14ac:dyDescent="0.3">
      <c r="B33" s="3" t="s">
        <v>43</v>
      </c>
      <c r="C33" s="5">
        <v>5.0928571428571425</v>
      </c>
    </row>
    <row r="34" spans="2:12" x14ac:dyDescent="0.3">
      <c r="B34" s="3" t="s">
        <v>44</v>
      </c>
      <c r="C34" s="5">
        <v>4.6821705426356592</v>
      </c>
    </row>
    <row r="35" spans="2:12" x14ac:dyDescent="0.3">
      <c r="B35" s="3" t="s">
        <v>3</v>
      </c>
      <c r="C35" s="5">
        <v>4.9920540325784666</v>
      </c>
    </row>
    <row r="37" spans="2:12" x14ac:dyDescent="0.3">
      <c r="D37" s="2" t="s">
        <v>4</v>
      </c>
      <c r="E37" t="s">
        <v>0</v>
      </c>
    </row>
    <row r="38" spans="2:12" x14ac:dyDescent="0.3">
      <c r="D38" s="3" t="s">
        <v>24</v>
      </c>
      <c r="E38" s="12">
        <v>4487</v>
      </c>
    </row>
    <row r="39" spans="2:12" x14ac:dyDescent="0.3">
      <c r="D39" s="3" t="s">
        <v>25</v>
      </c>
      <c r="E39" s="12">
        <v>4729</v>
      </c>
    </row>
    <row r="40" spans="2:12" x14ac:dyDescent="0.3">
      <c r="D40" s="3" t="s">
        <v>3</v>
      </c>
      <c r="E40" s="5">
        <v>9216</v>
      </c>
    </row>
    <row r="42" spans="2:12" x14ac:dyDescent="0.3">
      <c r="B42" s="2" t="s">
        <v>4</v>
      </c>
      <c r="C42" t="s">
        <v>0</v>
      </c>
      <c r="H42" s="2" t="s">
        <v>4</v>
      </c>
      <c r="I42" t="s">
        <v>21</v>
      </c>
      <c r="K42" s="2" t="s">
        <v>4</v>
      </c>
      <c r="L42" t="s">
        <v>0</v>
      </c>
    </row>
    <row r="43" spans="2:12" x14ac:dyDescent="0.3">
      <c r="B43" s="3" t="s">
        <v>22</v>
      </c>
      <c r="C43" s="12">
        <v>5467</v>
      </c>
      <c r="H43" s="3" t="s">
        <v>13</v>
      </c>
      <c r="I43" s="5">
        <v>1056</v>
      </c>
      <c r="K43" s="3" t="s">
        <v>33</v>
      </c>
      <c r="L43" s="12">
        <v>86</v>
      </c>
    </row>
    <row r="44" spans="2:12" x14ac:dyDescent="0.3">
      <c r="B44" s="3" t="s">
        <v>23</v>
      </c>
      <c r="C44" s="12">
        <v>3749</v>
      </c>
      <c r="H44" s="3" t="s">
        <v>14</v>
      </c>
      <c r="I44" s="5">
        <v>1179</v>
      </c>
      <c r="K44" s="3" t="s">
        <v>27</v>
      </c>
      <c r="L44" s="12">
        <v>178</v>
      </c>
    </row>
    <row r="45" spans="2:12" x14ac:dyDescent="0.3">
      <c r="B45" s="3" t="s">
        <v>3</v>
      </c>
      <c r="C45" s="5">
        <v>9216</v>
      </c>
      <c r="H45" s="3" t="s">
        <v>15</v>
      </c>
      <c r="I45" s="5">
        <v>1188</v>
      </c>
      <c r="K45" s="3" t="s">
        <v>29</v>
      </c>
      <c r="L45" s="12">
        <v>193</v>
      </c>
    </row>
    <row r="46" spans="2:12" x14ac:dyDescent="0.3">
      <c r="H46" s="3" t="s">
        <v>16</v>
      </c>
      <c r="I46" s="5">
        <v>1200</v>
      </c>
      <c r="K46" s="3" t="s">
        <v>26</v>
      </c>
      <c r="L46" s="12">
        <v>248</v>
      </c>
    </row>
    <row r="47" spans="2:12" x14ac:dyDescent="0.3">
      <c r="H47" s="3" t="s">
        <v>17</v>
      </c>
      <c r="I47" s="5">
        <v>1135</v>
      </c>
      <c r="K47" s="3" t="s">
        <v>32</v>
      </c>
      <c r="L47" s="12">
        <v>276</v>
      </c>
    </row>
    <row r="48" spans="2:12" x14ac:dyDescent="0.3">
      <c r="H48" s="3" t="s">
        <v>18</v>
      </c>
      <c r="I48" s="5">
        <v>1151</v>
      </c>
      <c r="K48" s="3" t="s">
        <v>31</v>
      </c>
      <c r="L48" s="12">
        <v>995</v>
      </c>
    </row>
    <row r="49" spans="1:12" x14ac:dyDescent="0.3">
      <c r="H49" s="3" t="s">
        <v>19</v>
      </c>
      <c r="I49" s="5">
        <v>1154</v>
      </c>
      <c r="K49" s="3" t="s">
        <v>28</v>
      </c>
      <c r="L49" s="12">
        <v>1840</v>
      </c>
    </row>
    <row r="50" spans="1:12" x14ac:dyDescent="0.3">
      <c r="A50" s="2" t="s">
        <v>4</v>
      </c>
      <c r="H50" s="3" t="s">
        <v>20</v>
      </c>
      <c r="I50" s="5">
        <v>1153</v>
      </c>
      <c r="K50" s="3" t="s">
        <v>30</v>
      </c>
      <c r="L50" s="12">
        <v>5400</v>
      </c>
    </row>
    <row r="51" spans="1:12" x14ac:dyDescent="0.3">
      <c r="A51" s="3" t="s">
        <v>46</v>
      </c>
      <c r="H51" s="3" t="s">
        <v>3</v>
      </c>
      <c r="I51" s="5">
        <v>9216</v>
      </c>
      <c r="K51" s="3" t="s">
        <v>3</v>
      </c>
      <c r="L51" s="5">
        <v>9216</v>
      </c>
    </row>
    <row r="52" spans="1:12" x14ac:dyDescent="0.3">
      <c r="A52" s="3" t="s">
        <v>45</v>
      </c>
    </row>
    <row r="53" spans="1:12" x14ac:dyDescent="0.3">
      <c r="A53" s="3" t="s">
        <v>3</v>
      </c>
    </row>
  </sheetData>
  <pageMargins left="0.7" right="0.7" top="0.75" bottom="0.75" header="0.3" footer="0.3"/>
  <pageSetup paperSize="9" orientation="portrait" verticalDpi="0" r:id="rId13"/>
  <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8"/>
  <sheetViews>
    <sheetView showGridLines="0" tabSelected="1" zoomScaleNormal="100" workbookViewId="0"/>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t="e" vm="1">
        <v>#VALUE!</v>
      </c>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row r="28" spans="1:23" ht="16.2" x14ac:dyDescent="0.3">
      <c r="G28" s="11"/>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B1:W27"/>
  <sheetViews>
    <sheetView zoomScaleNormal="100" workbookViewId="0"/>
  </sheetViews>
  <sheetFormatPr defaultRowHeight="14.4" x14ac:dyDescent="0.3"/>
  <sheetData>
    <row r="1" spans="2:23" x14ac:dyDescent="0.3">
      <c r="B1" s="4"/>
      <c r="C1" s="4"/>
      <c r="D1" s="4"/>
      <c r="E1" s="4"/>
      <c r="F1" s="4"/>
      <c r="G1" s="4"/>
      <c r="H1" s="4"/>
      <c r="I1" s="4"/>
      <c r="J1" s="4"/>
      <c r="K1" s="4"/>
      <c r="L1" s="4"/>
      <c r="M1" s="4"/>
      <c r="N1" s="4"/>
      <c r="O1" s="4"/>
      <c r="P1" s="4"/>
      <c r="Q1" s="4"/>
      <c r="R1" s="4"/>
      <c r="S1" s="4"/>
      <c r="T1" s="4"/>
      <c r="U1" s="4"/>
      <c r="V1" s="4"/>
      <c r="W1" s="4"/>
    </row>
    <row r="2" spans="2:23" x14ac:dyDescent="0.3">
      <c r="B2" s="4"/>
      <c r="C2" s="4"/>
      <c r="D2" s="4"/>
      <c r="E2" s="4"/>
      <c r="F2" s="4"/>
      <c r="G2" s="4"/>
      <c r="H2" s="4"/>
      <c r="I2" s="4"/>
      <c r="J2" s="4"/>
      <c r="K2" s="4"/>
      <c r="L2" s="4"/>
      <c r="M2" s="4"/>
      <c r="N2" s="4"/>
      <c r="O2" s="4"/>
      <c r="P2" s="4"/>
      <c r="Q2" s="4"/>
      <c r="R2" s="4"/>
      <c r="S2" s="4"/>
      <c r="T2" s="4"/>
      <c r="U2" s="4"/>
      <c r="V2" s="4"/>
      <c r="W2" s="4"/>
    </row>
    <row r="3" spans="2:23" x14ac:dyDescent="0.3">
      <c r="B3" s="4"/>
      <c r="C3" s="4"/>
      <c r="D3" s="4"/>
      <c r="E3" s="4"/>
      <c r="F3" s="4"/>
      <c r="G3" s="4"/>
      <c r="H3" s="4"/>
      <c r="I3" s="4"/>
      <c r="J3" s="4"/>
      <c r="K3" s="4"/>
      <c r="L3" s="4"/>
      <c r="M3" s="4"/>
      <c r="N3" s="4"/>
      <c r="O3" s="4"/>
      <c r="P3" s="4"/>
      <c r="Q3" s="4"/>
      <c r="R3" s="4"/>
      <c r="S3" s="4"/>
      <c r="T3" s="4"/>
      <c r="U3" s="4"/>
      <c r="V3" s="4"/>
      <c r="W3" s="4"/>
    </row>
    <row r="4" spans="2:23" x14ac:dyDescent="0.3">
      <c r="B4" s="4"/>
      <c r="C4" s="4"/>
      <c r="D4" s="4"/>
      <c r="E4" s="4"/>
      <c r="F4" s="4"/>
      <c r="G4" s="4"/>
      <c r="H4" s="4"/>
      <c r="I4" s="4"/>
      <c r="J4" s="4"/>
      <c r="K4" s="4"/>
      <c r="L4" s="4"/>
      <c r="M4" s="4"/>
      <c r="N4" s="4"/>
      <c r="O4" s="4"/>
      <c r="P4" s="4"/>
      <c r="Q4" s="4"/>
      <c r="R4" s="4"/>
      <c r="S4" s="4"/>
      <c r="T4" s="4"/>
      <c r="U4" s="4"/>
      <c r="V4" s="4"/>
      <c r="W4" s="4"/>
    </row>
    <row r="5" spans="2:23" x14ac:dyDescent="0.3">
      <c r="B5" s="4"/>
      <c r="C5" s="4"/>
      <c r="D5" s="4"/>
      <c r="E5" s="4"/>
      <c r="F5" s="4"/>
      <c r="G5" s="4"/>
      <c r="H5" s="4"/>
      <c r="I5" s="4"/>
      <c r="J5" s="4"/>
      <c r="K5" s="4"/>
      <c r="L5" s="4"/>
      <c r="M5" s="4"/>
      <c r="N5" s="4"/>
      <c r="O5" s="4"/>
      <c r="P5" s="4"/>
      <c r="Q5" s="4"/>
      <c r="R5" s="4"/>
      <c r="S5" s="4"/>
      <c r="T5" s="4"/>
      <c r="U5" s="4"/>
      <c r="V5" s="4"/>
      <c r="W5" s="4"/>
    </row>
    <row r="6" spans="2:23" x14ac:dyDescent="0.3">
      <c r="B6" s="4"/>
      <c r="C6" s="4"/>
      <c r="D6" s="4"/>
      <c r="E6" s="4"/>
      <c r="F6" s="4"/>
      <c r="G6" s="4"/>
      <c r="H6" s="4"/>
      <c r="I6" s="4"/>
      <c r="J6" s="4"/>
      <c r="K6" s="4"/>
      <c r="L6" s="4"/>
      <c r="M6" s="4"/>
      <c r="N6" s="4"/>
      <c r="O6" s="4"/>
      <c r="P6" s="4"/>
      <c r="Q6" s="4"/>
      <c r="R6" s="4"/>
      <c r="S6" s="4"/>
      <c r="T6" s="4"/>
      <c r="U6" s="4"/>
      <c r="V6" s="4"/>
      <c r="W6" s="4"/>
    </row>
    <row r="7" spans="2:23" x14ac:dyDescent="0.3">
      <c r="B7" s="4"/>
      <c r="C7" s="4"/>
      <c r="D7" s="4"/>
      <c r="E7" s="4"/>
      <c r="F7" s="4"/>
      <c r="G7" s="4"/>
      <c r="H7" s="4"/>
      <c r="I7" s="4"/>
      <c r="J7" s="4"/>
      <c r="K7" s="4"/>
      <c r="L7" s="4"/>
      <c r="M7" s="4"/>
      <c r="N7" s="4"/>
      <c r="O7" s="4"/>
      <c r="P7" s="4"/>
      <c r="Q7" s="4"/>
      <c r="R7" s="4"/>
      <c r="S7" s="4"/>
      <c r="T7" s="4"/>
      <c r="U7" s="4"/>
      <c r="V7" s="4"/>
      <c r="W7" s="4"/>
    </row>
    <row r="8" spans="2:23" x14ac:dyDescent="0.3">
      <c r="B8" s="4"/>
      <c r="C8" s="4"/>
      <c r="D8" s="4"/>
      <c r="E8" s="4"/>
      <c r="F8" s="4"/>
      <c r="G8" s="4"/>
      <c r="H8" s="4"/>
      <c r="I8" s="4"/>
      <c r="J8" s="4"/>
      <c r="K8" s="4"/>
      <c r="L8" s="4"/>
      <c r="M8" s="4"/>
      <c r="N8" s="4"/>
      <c r="O8" s="4"/>
      <c r="P8" s="4"/>
      <c r="Q8" s="4"/>
      <c r="R8" s="4"/>
      <c r="S8" s="4"/>
      <c r="T8" s="4"/>
      <c r="U8" s="4"/>
      <c r="V8" s="4"/>
      <c r="W8" s="4"/>
    </row>
    <row r="9" spans="2:23" x14ac:dyDescent="0.3">
      <c r="B9" s="4"/>
      <c r="C9" s="4"/>
      <c r="D9" s="4"/>
      <c r="E9" s="4"/>
      <c r="F9" s="4"/>
      <c r="G9" s="4"/>
      <c r="H9" s="4"/>
      <c r="I9" s="4"/>
      <c r="J9" s="4"/>
      <c r="K9" s="4"/>
      <c r="L9" s="4"/>
      <c r="M9" s="4"/>
      <c r="N9" s="4"/>
      <c r="O9" s="4"/>
      <c r="P9" s="4"/>
      <c r="Q9" s="4"/>
      <c r="R9" s="4"/>
      <c r="S9" s="4"/>
      <c r="T9" s="4"/>
      <c r="U9" s="4"/>
      <c r="V9" s="4"/>
      <c r="W9" s="4"/>
    </row>
    <row r="10" spans="2:23" x14ac:dyDescent="0.3">
      <c r="B10" s="4"/>
      <c r="C10" s="4"/>
      <c r="D10" s="4"/>
      <c r="E10" s="4"/>
      <c r="F10" s="4"/>
      <c r="G10" s="4"/>
      <c r="H10" s="4"/>
      <c r="I10" s="4"/>
      <c r="J10" s="4"/>
      <c r="K10" s="4"/>
      <c r="L10" s="4"/>
      <c r="M10" s="4"/>
      <c r="N10" s="4"/>
      <c r="O10" s="4"/>
      <c r="P10" s="4"/>
      <c r="Q10" s="4"/>
      <c r="R10" s="4"/>
      <c r="S10" s="4"/>
      <c r="T10" s="4"/>
      <c r="U10" s="4"/>
      <c r="V10" s="4"/>
      <c r="W10" s="4"/>
    </row>
    <row r="11" spans="2:23" x14ac:dyDescent="0.3">
      <c r="B11" s="4"/>
      <c r="C11" s="4"/>
      <c r="D11" s="4"/>
      <c r="E11" s="4"/>
      <c r="F11" s="4"/>
      <c r="G11" s="4"/>
      <c r="H11" s="4"/>
      <c r="I11" s="4"/>
      <c r="J11" s="4"/>
      <c r="K11" s="4"/>
      <c r="L11" s="4"/>
      <c r="M11" s="4"/>
      <c r="N11" s="4"/>
      <c r="O11" s="4"/>
      <c r="P11" s="4"/>
      <c r="Q11" s="4"/>
      <c r="R11" s="4"/>
      <c r="S11" s="4"/>
      <c r="T11" s="4"/>
      <c r="U11" s="4"/>
      <c r="V11" s="4"/>
      <c r="W11" s="4"/>
    </row>
    <row r="12" spans="2:23" x14ac:dyDescent="0.3">
      <c r="B12" s="4"/>
      <c r="C12" s="4"/>
      <c r="D12" s="4"/>
      <c r="E12" s="4"/>
      <c r="F12" s="4"/>
      <c r="G12" s="4"/>
      <c r="H12" s="4"/>
      <c r="I12" s="4"/>
      <c r="J12" s="4"/>
      <c r="K12" s="4"/>
      <c r="L12" s="4"/>
      <c r="M12" s="4"/>
      <c r="N12" s="4"/>
      <c r="O12" s="4"/>
      <c r="P12" s="4"/>
      <c r="Q12" s="4"/>
      <c r="R12" s="4"/>
      <c r="S12" s="4"/>
      <c r="T12" s="4"/>
      <c r="U12" s="4"/>
      <c r="V12" s="4"/>
      <c r="W12" s="4"/>
    </row>
    <row r="13" spans="2:23" x14ac:dyDescent="0.3">
      <c r="B13" s="4"/>
      <c r="C13" s="4"/>
      <c r="D13" s="4"/>
      <c r="E13" s="4"/>
      <c r="F13" s="4"/>
      <c r="G13" s="4"/>
      <c r="H13" s="4"/>
      <c r="I13" s="4"/>
      <c r="J13" s="4"/>
      <c r="K13" s="4"/>
      <c r="L13" s="4"/>
      <c r="M13" s="4"/>
      <c r="N13" s="4"/>
      <c r="O13" s="4"/>
      <c r="P13" s="4"/>
      <c r="Q13" s="4"/>
      <c r="R13" s="4"/>
      <c r="S13" s="4"/>
      <c r="T13" s="4"/>
      <c r="U13" s="4"/>
      <c r="V13" s="4"/>
      <c r="W13" s="4"/>
    </row>
    <row r="14" spans="2:23" x14ac:dyDescent="0.3">
      <c r="B14" s="4"/>
      <c r="C14" s="4"/>
      <c r="D14" s="4"/>
      <c r="E14" s="4"/>
      <c r="F14" s="4"/>
      <c r="G14" s="4"/>
      <c r="H14" s="4"/>
      <c r="I14" s="4"/>
      <c r="J14" s="4"/>
      <c r="K14" s="4"/>
      <c r="L14" s="4"/>
      <c r="M14" s="4"/>
      <c r="N14" s="4"/>
      <c r="O14" s="4"/>
      <c r="P14" s="4"/>
      <c r="Q14" s="4"/>
      <c r="R14" s="4"/>
      <c r="S14" s="4"/>
      <c r="T14" s="4"/>
      <c r="U14" s="4"/>
      <c r="V14" s="4"/>
      <c r="W14" s="4"/>
    </row>
    <row r="15" spans="2:23" x14ac:dyDescent="0.3">
      <c r="B15" s="4"/>
      <c r="C15" s="4"/>
      <c r="D15" s="4"/>
      <c r="E15" s="4"/>
      <c r="F15" s="4"/>
      <c r="G15" s="4"/>
      <c r="H15" s="4"/>
      <c r="I15" s="4"/>
      <c r="J15" s="4"/>
      <c r="K15" s="4"/>
      <c r="L15" s="4"/>
      <c r="M15" s="4"/>
      <c r="N15" s="4"/>
      <c r="O15" s="4"/>
      <c r="P15" s="4"/>
      <c r="Q15" s="4"/>
      <c r="R15" s="4"/>
      <c r="S15" s="4"/>
      <c r="T15" s="4"/>
      <c r="U15" s="4"/>
      <c r="V15" s="4"/>
      <c r="W15" s="4"/>
    </row>
    <row r="16" spans="2:23" x14ac:dyDescent="0.3">
      <c r="B16" s="4"/>
      <c r="C16" s="4"/>
      <c r="D16" s="4"/>
      <c r="E16" s="4"/>
      <c r="F16" s="4"/>
      <c r="G16" s="4"/>
      <c r="H16" s="4"/>
      <c r="I16" s="4"/>
      <c r="J16" s="4"/>
      <c r="K16" s="4"/>
      <c r="L16" s="4"/>
      <c r="M16" s="4"/>
      <c r="N16" s="4"/>
      <c r="O16" s="4"/>
      <c r="P16" s="4"/>
      <c r="Q16" s="4"/>
      <c r="R16" s="4"/>
      <c r="S16" s="4"/>
      <c r="T16" s="4"/>
      <c r="U16" s="4"/>
      <c r="V16" s="4"/>
      <c r="W16" s="4"/>
    </row>
    <row r="17" spans="2:23" x14ac:dyDescent="0.3">
      <c r="B17" s="4"/>
      <c r="C17" s="4"/>
      <c r="D17" s="4"/>
      <c r="E17" s="4"/>
      <c r="F17" s="4"/>
      <c r="G17" s="4"/>
      <c r="H17" s="4"/>
      <c r="I17" s="4"/>
      <c r="J17" s="4"/>
      <c r="K17" s="4"/>
      <c r="L17" s="4"/>
      <c r="M17" s="4"/>
      <c r="N17" s="4"/>
      <c r="O17" s="4"/>
      <c r="P17" s="4"/>
      <c r="Q17" s="4"/>
      <c r="R17" s="4"/>
      <c r="S17" s="4"/>
      <c r="T17" s="4"/>
      <c r="U17" s="4"/>
      <c r="V17" s="4"/>
      <c r="W17" s="4"/>
    </row>
    <row r="18" spans="2:23" x14ac:dyDescent="0.3">
      <c r="B18" s="4"/>
      <c r="C18" s="4"/>
      <c r="D18" s="4"/>
      <c r="E18" s="4"/>
      <c r="F18" s="4"/>
      <c r="G18" s="4"/>
      <c r="H18" s="4"/>
      <c r="I18" s="4"/>
      <c r="J18" s="4"/>
      <c r="K18" s="4"/>
      <c r="L18" s="4"/>
      <c r="M18" s="4"/>
      <c r="N18" s="4"/>
      <c r="O18" s="4"/>
      <c r="P18" s="4"/>
      <c r="Q18" s="4"/>
      <c r="R18" s="4"/>
      <c r="S18" s="4"/>
      <c r="T18" s="4"/>
      <c r="U18" s="4"/>
      <c r="V18" s="4"/>
      <c r="W18" s="4"/>
    </row>
    <row r="19" spans="2:23" x14ac:dyDescent="0.3">
      <c r="B19" s="4"/>
      <c r="C19" s="4"/>
      <c r="D19" s="4"/>
      <c r="E19" s="4"/>
      <c r="F19" s="4"/>
      <c r="G19" s="4"/>
      <c r="H19" s="4"/>
      <c r="I19" s="4"/>
      <c r="J19" s="4"/>
      <c r="K19" s="4"/>
      <c r="L19" s="4"/>
      <c r="M19" s="4"/>
      <c r="N19" s="4"/>
      <c r="O19" s="4"/>
      <c r="P19" s="4"/>
      <c r="Q19" s="4"/>
      <c r="R19" s="4"/>
      <c r="S19" s="4"/>
      <c r="T19" s="4"/>
      <c r="U19" s="4"/>
      <c r="V19" s="4"/>
      <c r="W19" s="4"/>
    </row>
    <row r="20" spans="2:23" x14ac:dyDescent="0.3">
      <c r="B20" s="4"/>
      <c r="C20" s="4"/>
      <c r="D20" s="4"/>
      <c r="E20" s="4"/>
      <c r="F20" s="4"/>
      <c r="G20" s="4"/>
      <c r="H20" s="4"/>
      <c r="I20" s="4"/>
      <c r="J20" s="4"/>
      <c r="K20" s="4"/>
      <c r="L20" s="4"/>
      <c r="M20" s="4"/>
      <c r="N20" s="4"/>
      <c r="O20" s="4"/>
      <c r="P20" s="4"/>
      <c r="Q20" s="4"/>
      <c r="R20" s="4"/>
      <c r="S20" s="4"/>
      <c r="T20" s="4"/>
      <c r="U20" s="4"/>
      <c r="V20" s="4"/>
      <c r="W20" s="4"/>
    </row>
    <row r="21" spans="2:23" x14ac:dyDescent="0.3">
      <c r="B21" s="4"/>
      <c r="C21" s="4"/>
      <c r="D21" s="4"/>
      <c r="E21" s="4"/>
      <c r="F21" s="4"/>
      <c r="G21" s="4"/>
      <c r="H21" s="4"/>
      <c r="I21" s="4"/>
      <c r="J21" s="4"/>
      <c r="K21" s="4"/>
      <c r="L21" s="4"/>
      <c r="M21" s="4"/>
      <c r="N21" s="4"/>
      <c r="O21" s="4"/>
      <c r="P21" s="4"/>
      <c r="Q21" s="4"/>
      <c r="R21" s="4"/>
      <c r="S21" s="4"/>
      <c r="T21" s="4"/>
      <c r="U21" s="4"/>
      <c r="V21" s="4"/>
      <c r="W21" s="4"/>
    </row>
    <row r="22" spans="2:23" x14ac:dyDescent="0.3">
      <c r="B22" s="4"/>
      <c r="C22" s="4"/>
      <c r="D22" s="4"/>
      <c r="E22" s="4"/>
      <c r="F22" s="4"/>
      <c r="G22" s="4"/>
      <c r="H22" s="4"/>
      <c r="I22" s="4"/>
      <c r="J22" s="4"/>
      <c r="K22" s="4"/>
      <c r="L22" s="4"/>
      <c r="M22" s="4"/>
      <c r="N22" s="4"/>
      <c r="O22" s="4"/>
      <c r="P22" s="4"/>
      <c r="Q22" s="4"/>
      <c r="R22" s="4"/>
      <c r="S22" s="4"/>
      <c r="T22" s="4"/>
      <c r="U22" s="4"/>
      <c r="V22" s="4"/>
      <c r="W22" s="4"/>
    </row>
    <row r="23" spans="2:23" x14ac:dyDescent="0.3">
      <c r="B23" s="4"/>
      <c r="C23" s="4"/>
      <c r="D23" s="4"/>
      <c r="E23" s="4"/>
      <c r="F23" s="4"/>
      <c r="G23" s="4"/>
      <c r="H23" s="4"/>
      <c r="I23" s="4"/>
      <c r="J23" s="4"/>
      <c r="K23" s="4"/>
      <c r="L23" s="4"/>
      <c r="M23" s="4"/>
      <c r="N23" s="4"/>
      <c r="O23" s="4"/>
      <c r="P23" s="4"/>
      <c r="Q23" s="4"/>
      <c r="R23" s="4"/>
      <c r="S23" s="4"/>
      <c r="T23" s="4"/>
      <c r="U23" s="4"/>
      <c r="V23" s="4"/>
      <c r="W23" s="4"/>
    </row>
    <row r="24" spans="2:23" x14ac:dyDescent="0.3">
      <c r="B24" s="4"/>
      <c r="C24" s="4"/>
      <c r="D24" s="4"/>
      <c r="E24" s="4"/>
      <c r="F24" s="4"/>
      <c r="G24" s="4"/>
      <c r="H24" s="4"/>
      <c r="I24" s="4"/>
      <c r="J24" s="4"/>
      <c r="K24" s="4"/>
      <c r="L24" s="4"/>
      <c r="M24" s="4"/>
      <c r="N24" s="4"/>
      <c r="O24" s="4"/>
      <c r="P24" s="4"/>
      <c r="Q24" s="4"/>
      <c r="R24" s="4"/>
      <c r="S24" s="4"/>
      <c r="T24" s="4"/>
      <c r="U24" s="4"/>
      <c r="V24" s="4"/>
      <c r="W24" s="4"/>
    </row>
    <row r="25" spans="2:23" x14ac:dyDescent="0.3">
      <c r="B25" s="4"/>
      <c r="C25" s="4"/>
      <c r="D25" s="4"/>
      <c r="E25" s="4"/>
      <c r="F25" s="4"/>
      <c r="G25" s="4"/>
      <c r="H25" s="4"/>
      <c r="I25" s="4"/>
      <c r="J25" s="4"/>
      <c r="K25" s="4"/>
      <c r="L25" s="4"/>
      <c r="M25" s="4"/>
      <c r="N25" s="4"/>
      <c r="O25" s="4"/>
      <c r="P25" s="4"/>
      <c r="Q25" s="4"/>
      <c r="R25" s="4"/>
      <c r="S25" s="4"/>
      <c r="T25" s="4"/>
      <c r="U25" s="4"/>
      <c r="V25" s="4"/>
      <c r="W25" s="4"/>
    </row>
    <row r="26" spans="2:23" x14ac:dyDescent="0.3">
      <c r="B26" s="4"/>
      <c r="C26" s="4"/>
      <c r="D26" s="4"/>
      <c r="E26" s="4"/>
      <c r="F26" s="4"/>
      <c r="G26" s="4"/>
      <c r="H26" s="4"/>
      <c r="I26" s="4"/>
      <c r="J26" s="4"/>
      <c r="K26" s="4"/>
      <c r="L26" s="4"/>
      <c r="M26" s="4"/>
      <c r="N26" s="4"/>
      <c r="O26" s="4"/>
      <c r="P26" s="4"/>
      <c r="Q26" s="4"/>
      <c r="R26" s="4"/>
      <c r="S26" s="4"/>
      <c r="T26" s="4"/>
      <c r="U26" s="4"/>
      <c r="V26" s="4"/>
      <c r="W26" s="4"/>
    </row>
    <row r="27" spans="2: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24D9-BDC6-4C9B-80D0-9FDEEB09B675}">
  <dimension ref="A1:W27"/>
  <sheetViews>
    <sheetView zoomScaleNormal="100" workbookViewId="0"/>
  </sheetViews>
  <sheetFormatPr defaultRowHeight="14.4" x14ac:dyDescent="0.3"/>
  <sheetData>
    <row r="1" spans="1:23" x14ac:dyDescent="0.3">
      <c r="A1" s="4"/>
      <c r="B1" s="4"/>
      <c r="C1" s="4"/>
      <c r="D1" s="4"/>
      <c r="E1" s="4"/>
      <c r="F1" s="4"/>
      <c r="G1" s="4"/>
      <c r="H1" s="4"/>
      <c r="I1" s="4"/>
      <c r="J1" s="4"/>
      <c r="K1" s="4"/>
      <c r="L1" s="4"/>
      <c r="M1" s="4"/>
      <c r="N1" s="4"/>
      <c r="O1" s="4"/>
      <c r="P1" s="4"/>
      <c r="Q1" s="4"/>
      <c r="R1" s="4"/>
      <c r="S1" s="4"/>
      <c r="T1" s="4"/>
      <c r="U1" s="4"/>
      <c r="V1" s="4"/>
      <c r="W1" s="4"/>
    </row>
    <row r="2" spans="1:23" x14ac:dyDescent="0.3">
      <c r="A2" s="4"/>
      <c r="B2" s="4"/>
      <c r="C2" s="4"/>
      <c r="D2" s="4"/>
      <c r="E2" s="4"/>
      <c r="F2" s="4"/>
      <c r="G2" s="4"/>
      <c r="H2" s="4"/>
      <c r="I2" s="4"/>
      <c r="J2" s="4"/>
      <c r="K2" s="4"/>
      <c r="L2" s="4"/>
      <c r="M2" s="4"/>
      <c r="N2" s="4"/>
      <c r="O2" s="4"/>
      <c r="P2" s="4"/>
      <c r="Q2" s="4"/>
      <c r="R2" s="4"/>
      <c r="S2" s="4"/>
      <c r="T2" s="4"/>
      <c r="U2" s="4"/>
      <c r="V2" s="4"/>
      <c r="W2" s="4"/>
    </row>
    <row r="3" spans="1:23" x14ac:dyDescent="0.3">
      <c r="A3" s="4"/>
      <c r="B3" s="4"/>
      <c r="C3" s="4"/>
      <c r="D3" s="4"/>
      <c r="E3" s="4"/>
      <c r="F3" s="4"/>
      <c r="G3" s="4"/>
      <c r="H3" s="4"/>
      <c r="I3" s="4"/>
      <c r="J3" s="4"/>
      <c r="K3" s="4"/>
      <c r="L3" s="4"/>
      <c r="M3" s="4"/>
      <c r="N3" s="4"/>
      <c r="O3" s="4"/>
      <c r="P3" s="4"/>
      <c r="Q3" s="4"/>
      <c r="R3" s="4"/>
      <c r="S3" s="4"/>
      <c r="T3" s="4"/>
      <c r="U3" s="4"/>
      <c r="V3" s="4"/>
      <c r="W3" s="4"/>
    </row>
    <row r="4" spans="1:23" x14ac:dyDescent="0.3">
      <c r="A4" s="4"/>
      <c r="B4" s="4"/>
      <c r="C4" s="4"/>
      <c r="D4" s="4"/>
      <c r="E4" s="4"/>
      <c r="F4" s="4"/>
      <c r="G4" s="4"/>
      <c r="H4" s="4"/>
      <c r="I4" s="4"/>
      <c r="J4" s="4"/>
      <c r="K4" s="4"/>
      <c r="L4" s="4"/>
      <c r="M4" s="4"/>
      <c r="N4" s="4"/>
      <c r="O4" s="4"/>
      <c r="P4" s="4"/>
      <c r="Q4" s="4"/>
      <c r="R4" s="4"/>
      <c r="S4" s="4"/>
      <c r="T4" s="4"/>
      <c r="U4" s="4"/>
      <c r="V4" s="4"/>
      <c r="W4" s="4"/>
    </row>
    <row r="5" spans="1:23" x14ac:dyDescent="0.3">
      <c r="A5" s="4"/>
      <c r="B5" s="4"/>
      <c r="C5" s="4"/>
      <c r="D5" s="4"/>
      <c r="E5" s="4"/>
      <c r="F5" s="4"/>
      <c r="G5" s="4"/>
      <c r="H5" s="4"/>
      <c r="I5" s="4"/>
      <c r="J5" s="4"/>
      <c r="K5" s="4"/>
      <c r="L5" s="4"/>
      <c r="M5" s="4"/>
      <c r="N5" s="4"/>
      <c r="O5" s="4"/>
      <c r="P5" s="4"/>
      <c r="Q5" s="4"/>
      <c r="R5" s="4"/>
      <c r="S5" s="4"/>
      <c r="T5" s="4"/>
      <c r="U5" s="4"/>
      <c r="V5" s="4"/>
      <c r="W5" s="4"/>
    </row>
    <row r="6" spans="1:23" x14ac:dyDescent="0.3">
      <c r="A6" s="4"/>
      <c r="B6" s="4"/>
      <c r="C6" s="4"/>
      <c r="D6" s="4"/>
      <c r="E6" s="4"/>
      <c r="F6" s="4"/>
      <c r="G6" s="4"/>
      <c r="H6" s="4"/>
      <c r="I6" s="4"/>
      <c r="J6" s="4"/>
      <c r="K6" s="4"/>
      <c r="L6" s="4"/>
      <c r="M6" s="4"/>
      <c r="N6" s="4"/>
      <c r="O6" s="4"/>
      <c r="P6" s="4"/>
      <c r="Q6" s="4"/>
      <c r="R6" s="4"/>
      <c r="S6" s="4"/>
      <c r="T6" s="4"/>
      <c r="U6" s="4"/>
      <c r="V6" s="4"/>
      <c r="W6" s="4"/>
    </row>
    <row r="7" spans="1:23" x14ac:dyDescent="0.3">
      <c r="A7" s="4"/>
      <c r="B7" s="4"/>
      <c r="C7" s="4"/>
      <c r="D7" s="4"/>
      <c r="E7" s="4"/>
      <c r="F7" s="4"/>
      <c r="G7" s="4"/>
      <c r="H7" s="4"/>
      <c r="I7" s="4"/>
      <c r="J7" s="4"/>
      <c r="K7" s="4"/>
      <c r="L7" s="4"/>
      <c r="M7" s="4"/>
      <c r="N7" s="4"/>
      <c r="O7" s="4"/>
      <c r="P7" s="4"/>
      <c r="Q7" s="4"/>
      <c r="R7" s="4"/>
      <c r="S7" s="4"/>
      <c r="T7" s="4"/>
      <c r="U7" s="4"/>
      <c r="V7" s="4"/>
      <c r="W7" s="4"/>
    </row>
    <row r="8" spans="1:23" x14ac:dyDescent="0.3">
      <c r="A8" s="4"/>
      <c r="B8" s="4"/>
      <c r="C8" s="4"/>
      <c r="D8" s="4"/>
      <c r="E8" s="4"/>
      <c r="F8" s="4"/>
      <c r="G8" s="4"/>
      <c r="H8" s="4"/>
      <c r="I8" s="4"/>
      <c r="J8" s="4"/>
      <c r="K8" s="4"/>
      <c r="L8" s="4"/>
      <c r="M8" s="4"/>
      <c r="N8" s="4"/>
      <c r="O8" s="4"/>
      <c r="P8" s="4"/>
      <c r="Q8" s="4"/>
      <c r="R8" s="4"/>
      <c r="S8" s="4"/>
      <c r="T8" s="4"/>
      <c r="U8" s="4"/>
      <c r="V8" s="4"/>
      <c r="W8" s="4"/>
    </row>
    <row r="9" spans="1:23" x14ac:dyDescent="0.3">
      <c r="A9" s="4"/>
      <c r="B9" s="4"/>
      <c r="C9" s="4"/>
      <c r="D9" s="4"/>
      <c r="E9" s="4"/>
      <c r="F9" s="4"/>
      <c r="G9" s="4"/>
      <c r="H9" s="4"/>
      <c r="I9" s="4"/>
      <c r="J9" s="4"/>
      <c r="K9" s="4"/>
      <c r="L9" s="4"/>
      <c r="M9" s="4"/>
      <c r="N9" s="4"/>
      <c r="O9" s="4"/>
      <c r="P9" s="4"/>
      <c r="Q9" s="4"/>
      <c r="R9" s="4"/>
      <c r="S9" s="4"/>
      <c r="T9" s="4"/>
      <c r="U9" s="4"/>
      <c r="V9" s="4"/>
      <c r="W9" s="4"/>
    </row>
    <row r="10" spans="1:23" x14ac:dyDescent="0.3">
      <c r="A10" s="4"/>
      <c r="B10" s="4"/>
      <c r="C10" s="4"/>
      <c r="D10" s="4"/>
      <c r="E10" s="4"/>
      <c r="F10" s="4"/>
      <c r="G10" s="4"/>
      <c r="H10" s="4"/>
      <c r="I10" s="4"/>
      <c r="J10" s="4"/>
      <c r="K10" s="4"/>
      <c r="L10" s="4"/>
      <c r="M10" s="4"/>
      <c r="N10" s="4"/>
      <c r="O10" s="4"/>
      <c r="P10" s="4"/>
      <c r="Q10" s="4"/>
      <c r="R10" s="4"/>
      <c r="S10" s="4"/>
      <c r="T10" s="4"/>
      <c r="U10" s="4"/>
      <c r="V10" s="4"/>
      <c r="W10" s="4"/>
    </row>
    <row r="11" spans="1:23" x14ac:dyDescent="0.3">
      <c r="A11" s="4"/>
      <c r="B11" s="4"/>
      <c r="C11" s="4"/>
      <c r="D11" s="4"/>
      <c r="E11" s="4"/>
      <c r="F11" s="4"/>
      <c r="G11" s="4"/>
      <c r="H11" s="4"/>
      <c r="I11" s="4"/>
      <c r="J11" s="4"/>
      <c r="K11" s="4"/>
      <c r="L11" s="4"/>
      <c r="M11" s="4"/>
      <c r="N11" s="4"/>
      <c r="O11" s="4"/>
      <c r="P11" s="4"/>
      <c r="Q11" s="4"/>
      <c r="R11" s="4"/>
      <c r="S11" s="4"/>
      <c r="T11" s="4"/>
      <c r="U11" s="4"/>
      <c r="V11" s="4"/>
      <c r="W11" s="4"/>
    </row>
    <row r="12" spans="1:23" x14ac:dyDescent="0.3">
      <c r="A12" s="4"/>
      <c r="B12" s="4"/>
      <c r="C12" s="4"/>
      <c r="D12" s="4"/>
      <c r="E12" s="4"/>
      <c r="F12" s="4"/>
      <c r="G12" s="4"/>
      <c r="H12" s="4"/>
      <c r="I12" s="4"/>
      <c r="J12" s="4"/>
      <c r="K12" s="4"/>
      <c r="L12" s="4"/>
      <c r="M12" s="4"/>
      <c r="N12" s="4"/>
      <c r="O12" s="4"/>
      <c r="P12" s="4"/>
      <c r="Q12" s="4"/>
      <c r="R12" s="4"/>
      <c r="S12" s="4"/>
      <c r="T12" s="4"/>
      <c r="U12" s="4"/>
      <c r="V12" s="4"/>
      <c r="W12" s="4"/>
    </row>
    <row r="13" spans="1:23" x14ac:dyDescent="0.3">
      <c r="A13" s="4"/>
      <c r="B13" s="4"/>
      <c r="C13" s="4"/>
      <c r="D13" s="4"/>
      <c r="E13" s="4"/>
      <c r="F13" s="4"/>
      <c r="G13" s="4"/>
      <c r="H13" s="4"/>
      <c r="I13" s="4"/>
      <c r="J13" s="4"/>
      <c r="K13" s="4"/>
      <c r="L13" s="4"/>
      <c r="M13" s="4"/>
      <c r="N13" s="4"/>
      <c r="O13" s="4"/>
      <c r="P13" s="4"/>
      <c r="Q13" s="4"/>
      <c r="R13" s="4"/>
      <c r="S13" s="4"/>
      <c r="T13" s="4"/>
      <c r="U13" s="4"/>
      <c r="V13" s="4"/>
      <c r="W13" s="4"/>
    </row>
    <row r="14" spans="1:23" x14ac:dyDescent="0.3">
      <c r="A14" s="4"/>
      <c r="B14" s="4"/>
      <c r="C14" s="4"/>
      <c r="D14" s="4"/>
      <c r="E14" s="4"/>
      <c r="F14" s="4"/>
      <c r="G14" s="4"/>
      <c r="H14" s="4"/>
      <c r="I14" s="4"/>
      <c r="J14" s="4"/>
      <c r="K14" s="4"/>
      <c r="L14" s="4"/>
      <c r="M14" s="4"/>
      <c r="N14" s="4"/>
      <c r="O14" s="4"/>
      <c r="P14" s="4"/>
      <c r="Q14" s="4"/>
      <c r="R14" s="4"/>
      <c r="S14" s="4"/>
      <c r="T14" s="4"/>
      <c r="U14" s="4"/>
      <c r="V14" s="4"/>
      <c r="W14" s="4"/>
    </row>
    <row r="15" spans="1:23" x14ac:dyDescent="0.3">
      <c r="A15" s="4"/>
      <c r="B15" s="4"/>
      <c r="C15" s="4"/>
      <c r="D15" s="4"/>
      <c r="E15" s="4"/>
      <c r="F15" s="4"/>
      <c r="G15" s="4"/>
      <c r="H15" s="4"/>
      <c r="I15" s="4"/>
      <c r="J15" s="4"/>
      <c r="K15" s="4"/>
      <c r="L15" s="4"/>
      <c r="M15" s="4"/>
      <c r="N15" s="4"/>
      <c r="O15" s="4"/>
      <c r="P15" s="4"/>
      <c r="Q15" s="4"/>
      <c r="R15" s="4"/>
      <c r="S15" s="4"/>
      <c r="T15" s="4"/>
      <c r="U15" s="4"/>
      <c r="V15" s="4"/>
      <c r="W15" s="4"/>
    </row>
    <row r="16" spans="1:23" x14ac:dyDescent="0.3">
      <c r="A16" s="4"/>
      <c r="B16" s="4"/>
      <c r="C16" s="4"/>
      <c r="D16" s="4"/>
      <c r="E16" s="4"/>
      <c r="F16" s="4"/>
      <c r="G16" s="4"/>
      <c r="H16" s="4"/>
      <c r="I16" s="4"/>
      <c r="J16" s="4"/>
      <c r="K16" s="4"/>
      <c r="L16" s="4"/>
      <c r="M16" s="4"/>
      <c r="N16" s="4"/>
      <c r="O16" s="4"/>
      <c r="P16" s="4"/>
      <c r="Q16" s="4"/>
      <c r="R16" s="4"/>
      <c r="S16" s="4"/>
      <c r="T16" s="4"/>
      <c r="U16" s="4"/>
      <c r="V16" s="4"/>
      <c r="W16" s="4"/>
    </row>
    <row r="17" spans="1:23" x14ac:dyDescent="0.3">
      <c r="A17" s="4"/>
      <c r="B17" s="4"/>
      <c r="C17" s="4"/>
      <c r="D17" s="4"/>
      <c r="E17" s="4"/>
      <c r="F17" s="4"/>
      <c r="G17" s="4"/>
      <c r="H17" s="4"/>
      <c r="I17" s="4"/>
      <c r="J17" s="4"/>
      <c r="K17" s="4"/>
      <c r="L17" s="4"/>
      <c r="M17" s="4"/>
      <c r="N17" s="4"/>
      <c r="O17" s="4"/>
      <c r="P17" s="4"/>
      <c r="Q17" s="4"/>
      <c r="R17" s="4"/>
      <c r="S17" s="4"/>
      <c r="T17" s="4"/>
      <c r="U17" s="4"/>
      <c r="V17" s="4"/>
      <c r="W17" s="4"/>
    </row>
    <row r="18" spans="1:23" x14ac:dyDescent="0.3">
      <c r="A18" s="4"/>
      <c r="B18" s="4"/>
      <c r="C18" s="4"/>
      <c r="D18" s="4"/>
      <c r="E18" s="4"/>
      <c r="F18" s="4"/>
      <c r="G18" s="4"/>
      <c r="H18" s="4"/>
      <c r="I18" s="4"/>
      <c r="J18" s="4"/>
      <c r="K18" s="4"/>
      <c r="L18" s="4"/>
      <c r="M18" s="4"/>
      <c r="N18" s="4"/>
      <c r="O18" s="4"/>
      <c r="P18" s="4"/>
      <c r="Q18" s="4"/>
      <c r="R18" s="4"/>
      <c r="S18" s="4"/>
      <c r="T18" s="4"/>
      <c r="U18" s="4"/>
      <c r="V18" s="4"/>
      <c r="W18" s="4"/>
    </row>
    <row r="19" spans="1:23" x14ac:dyDescent="0.3">
      <c r="A19" s="4"/>
      <c r="B19" s="4"/>
      <c r="C19" s="4"/>
      <c r="D19" s="4"/>
      <c r="E19" s="4"/>
      <c r="F19" s="4"/>
      <c r="G19" s="4"/>
      <c r="H19" s="4"/>
      <c r="I19" s="4"/>
      <c r="J19" s="4"/>
      <c r="K19" s="4"/>
      <c r="L19" s="4"/>
      <c r="M19" s="4"/>
      <c r="N19" s="4"/>
      <c r="O19" s="4"/>
      <c r="P19" s="4"/>
      <c r="Q19" s="4"/>
      <c r="R19" s="4"/>
      <c r="S19" s="4"/>
      <c r="T19" s="4"/>
      <c r="U19" s="4"/>
      <c r="V19" s="4"/>
      <c r="W19" s="4"/>
    </row>
    <row r="20" spans="1:23" x14ac:dyDescent="0.3">
      <c r="A20" s="4"/>
      <c r="B20" s="4"/>
      <c r="C20" s="4"/>
      <c r="D20" s="4"/>
      <c r="E20" s="4"/>
      <c r="F20" s="4"/>
      <c r="G20" s="4"/>
      <c r="H20" s="4"/>
      <c r="I20" s="4"/>
      <c r="J20" s="4"/>
      <c r="K20" s="4"/>
      <c r="L20" s="4"/>
      <c r="M20" s="4"/>
      <c r="N20" s="4"/>
      <c r="O20" s="4"/>
      <c r="P20" s="4"/>
      <c r="Q20" s="4"/>
      <c r="R20" s="4"/>
      <c r="S20" s="4"/>
      <c r="T20" s="4"/>
      <c r="U20" s="4"/>
      <c r="V20" s="4"/>
      <c r="W20" s="4"/>
    </row>
    <row r="21" spans="1:23" x14ac:dyDescent="0.3">
      <c r="A21" s="4"/>
      <c r="B21" s="4"/>
      <c r="C21" s="4"/>
      <c r="D21" s="4"/>
      <c r="E21" s="4"/>
      <c r="F21" s="4"/>
      <c r="G21" s="4"/>
      <c r="H21" s="4"/>
      <c r="I21" s="4"/>
      <c r="J21" s="4"/>
      <c r="K21" s="4"/>
      <c r="L21" s="4"/>
      <c r="M21" s="4"/>
      <c r="N21" s="4"/>
      <c r="O21" s="4"/>
      <c r="P21" s="4"/>
      <c r="Q21" s="4"/>
      <c r="R21" s="4"/>
      <c r="S21" s="4"/>
      <c r="T21" s="4"/>
      <c r="U21" s="4"/>
      <c r="V21" s="4"/>
      <c r="W21" s="4"/>
    </row>
    <row r="22" spans="1:23" x14ac:dyDescent="0.3">
      <c r="A22" s="4"/>
      <c r="B22" s="4"/>
      <c r="C22" s="4"/>
      <c r="D22" s="4"/>
      <c r="E22" s="4"/>
      <c r="F22" s="4"/>
      <c r="G22" s="4"/>
      <c r="H22" s="4"/>
      <c r="I22" s="4"/>
      <c r="J22" s="4"/>
      <c r="K22" s="4"/>
      <c r="L22" s="4"/>
      <c r="M22" s="4"/>
      <c r="N22" s="4"/>
      <c r="O22" s="4"/>
      <c r="P22" s="4"/>
      <c r="Q22" s="4"/>
      <c r="R22" s="4"/>
      <c r="S22" s="4"/>
      <c r="T22" s="4"/>
      <c r="U22" s="4"/>
      <c r="V22" s="4"/>
      <c r="W22" s="4"/>
    </row>
    <row r="23" spans="1:23" x14ac:dyDescent="0.3">
      <c r="A23" s="4"/>
      <c r="B23" s="4"/>
      <c r="C23" s="4"/>
      <c r="D23" s="4"/>
      <c r="E23" s="4"/>
      <c r="F23" s="4"/>
      <c r="G23" s="4"/>
      <c r="H23" s="4"/>
      <c r="I23" s="4"/>
      <c r="J23" s="4"/>
      <c r="K23" s="4"/>
      <c r="L23" s="4"/>
      <c r="M23" s="4"/>
      <c r="N23" s="4"/>
      <c r="O23" s="4"/>
      <c r="P23" s="4"/>
      <c r="Q23" s="4"/>
      <c r="R23" s="4"/>
      <c r="S23" s="4"/>
      <c r="T23" s="4"/>
      <c r="U23" s="4"/>
      <c r="V23" s="4"/>
      <c r="W23" s="4"/>
    </row>
    <row r="24" spans="1:23" x14ac:dyDescent="0.3">
      <c r="A24" s="4"/>
      <c r="B24" s="4"/>
      <c r="C24" s="4"/>
      <c r="D24" s="4"/>
      <c r="E24" s="4"/>
      <c r="F24" s="4"/>
      <c r="G24" s="4"/>
      <c r="H24" s="4"/>
      <c r="I24" s="4"/>
      <c r="J24" s="4"/>
      <c r="K24" s="4"/>
      <c r="L24" s="4"/>
      <c r="M24" s="4"/>
      <c r="N24" s="4"/>
      <c r="O24" s="4"/>
      <c r="P24" s="4"/>
      <c r="Q24" s="4"/>
      <c r="R24" s="4"/>
      <c r="S24" s="4"/>
      <c r="T24" s="4"/>
      <c r="U24" s="4"/>
      <c r="V24" s="4"/>
      <c r="W24" s="4"/>
    </row>
    <row r="25" spans="1:23" x14ac:dyDescent="0.3">
      <c r="A25" s="4"/>
      <c r="B25" s="4"/>
      <c r="C25" s="4"/>
      <c r="D25" s="4"/>
      <c r="E25" s="4"/>
      <c r="F25" s="4"/>
      <c r="G25" s="4"/>
      <c r="H25" s="4"/>
      <c r="I25" s="4"/>
      <c r="J25" s="4"/>
      <c r="K25" s="4"/>
      <c r="L25" s="4"/>
      <c r="M25" s="4"/>
      <c r="N25" s="4"/>
      <c r="O25" s="4"/>
      <c r="P25" s="4"/>
      <c r="Q25" s="4"/>
      <c r="R25" s="4"/>
      <c r="S25" s="4"/>
      <c r="T25" s="4"/>
      <c r="U25" s="4"/>
      <c r="V25" s="4"/>
      <c r="W25" s="4"/>
    </row>
    <row r="26" spans="1:23" x14ac:dyDescent="0.3">
      <c r="B26" s="4"/>
      <c r="C26" s="4"/>
      <c r="D26" s="4"/>
      <c r="E26" s="4"/>
      <c r="F26" s="4"/>
      <c r="G26" s="4"/>
      <c r="H26" s="4"/>
      <c r="I26" s="4"/>
      <c r="J26" s="4"/>
      <c r="K26" s="4"/>
      <c r="L26" s="4"/>
      <c r="M26" s="4"/>
      <c r="N26" s="4"/>
      <c r="O26" s="4"/>
      <c r="P26" s="4"/>
      <c r="Q26" s="4"/>
      <c r="R26" s="4"/>
      <c r="S26" s="4"/>
      <c r="T26" s="4"/>
      <c r="U26" s="4"/>
      <c r="V26" s="4"/>
      <c r="W26" s="4"/>
    </row>
    <row r="27" spans="1: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9F244-E767-4F6C-9559-A5AB29319B2C}">
  <dimension ref="A1:W25"/>
  <sheetViews>
    <sheetView zoomScaleNormal="100" workbookViewId="0"/>
  </sheetViews>
  <sheetFormatPr defaultRowHeight="14.4" x14ac:dyDescent="0.3"/>
  <sheetData>
    <row r="1" spans="1:23" x14ac:dyDescent="0.3">
      <c r="A1" s="6"/>
      <c r="B1" s="6"/>
      <c r="C1" s="6"/>
      <c r="D1" s="6"/>
      <c r="E1" s="6"/>
      <c r="F1" s="6"/>
      <c r="G1" s="6"/>
      <c r="H1" s="6"/>
      <c r="I1" s="6"/>
      <c r="J1" s="6"/>
      <c r="K1" s="6"/>
      <c r="L1" s="6"/>
      <c r="M1" s="6"/>
      <c r="N1" s="6"/>
      <c r="O1" s="6"/>
      <c r="P1" s="6"/>
      <c r="Q1" s="6"/>
      <c r="R1" s="6"/>
      <c r="S1" s="6"/>
      <c r="T1" s="6"/>
      <c r="U1" s="6"/>
      <c r="V1" s="6"/>
      <c r="W1" s="6"/>
    </row>
    <row r="2" spans="1:23" x14ac:dyDescent="0.3">
      <c r="A2" s="6"/>
      <c r="B2" s="6"/>
      <c r="C2" s="6"/>
      <c r="D2" s="6"/>
      <c r="E2" s="6"/>
      <c r="F2" s="6"/>
      <c r="G2" s="6"/>
      <c r="H2" s="6"/>
      <c r="I2" s="6"/>
      <c r="J2" s="6"/>
      <c r="K2" s="6"/>
      <c r="L2" s="6"/>
      <c r="M2" s="6"/>
      <c r="N2" s="6"/>
      <c r="O2" s="6"/>
      <c r="P2" s="6"/>
      <c r="Q2" s="6"/>
      <c r="R2" s="6"/>
      <c r="S2" s="6"/>
      <c r="T2" s="6"/>
      <c r="U2" s="6"/>
      <c r="V2" s="6"/>
      <c r="W2" s="6"/>
    </row>
    <row r="3" spans="1:23" x14ac:dyDescent="0.3">
      <c r="A3" s="6"/>
      <c r="B3" s="6"/>
      <c r="C3" s="6"/>
      <c r="D3" s="6"/>
      <c r="E3" s="6"/>
      <c r="F3" s="6"/>
      <c r="G3" s="6"/>
      <c r="H3" s="6"/>
      <c r="I3" s="6"/>
      <c r="J3" s="6"/>
      <c r="K3" s="6"/>
      <c r="L3" s="6"/>
      <c r="M3" s="6"/>
      <c r="N3" s="6"/>
      <c r="O3" s="6"/>
      <c r="P3" s="6"/>
      <c r="Q3" s="6"/>
      <c r="R3" s="6"/>
      <c r="S3" s="6"/>
      <c r="T3" s="6"/>
      <c r="U3" s="6"/>
      <c r="V3" s="6"/>
      <c r="W3" s="6"/>
    </row>
    <row r="4" spans="1:23" x14ac:dyDescent="0.3">
      <c r="A4" s="6"/>
      <c r="B4" s="6"/>
      <c r="C4" s="6"/>
      <c r="D4" s="6"/>
      <c r="E4" s="6"/>
      <c r="F4" s="6"/>
      <c r="G4" s="6"/>
      <c r="H4" s="6"/>
      <c r="I4" s="6"/>
      <c r="J4" s="6"/>
      <c r="K4" s="6"/>
      <c r="L4" s="6"/>
      <c r="M4" s="6"/>
      <c r="N4" s="6"/>
      <c r="O4" s="6"/>
      <c r="P4" s="6"/>
      <c r="Q4" s="6"/>
      <c r="R4" s="6"/>
      <c r="S4" s="6"/>
      <c r="T4" s="6"/>
      <c r="U4" s="6"/>
      <c r="V4" s="6"/>
      <c r="W4" s="6"/>
    </row>
    <row r="5" spans="1:23" x14ac:dyDescent="0.3">
      <c r="A5" s="6"/>
      <c r="B5" s="6"/>
      <c r="C5" s="6"/>
      <c r="D5" s="6"/>
      <c r="E5" s="6"/>
      <c r="F5" s="6"/>
      <c r="G5" s="6"/>
      <c r="H5" s="6"/>
      <c r="I5" s="6"/>
      <c r="J5" s="6"/>
      <c r="K5" s="6"/>
      <c r="L5" s="6"/>
      <c r="M5" s="6"/>
      <c r="N5" s="6"/>
      <c r="O5" s="6"/>
      <c r="P5" s="6"/>
      <c r="Q5" s="6"/>
      <c r="R5" s="6"/>
      <c r="S5" s="6"/>
      <c r="T5" s="6"/>
      <c r="U5" s="6"/>
      <c r="V5" s="6"/>
      <c r="W5" s="6"/>
    </row>
    <row r="6" spans="1:23" x14ac:dyDescent="0.3">
      <c r="A6" s="6"/>
      <c r="B6" s="6"/>
      <c r="C6" s="6"/>
      <c r="D6" s="6"/>
      <c r="E6" s="6"/>
      <c r="F6" s="6"/>
      <c r="G6" s="6"/>
      <c r="H6" s="6"/>
      <c r="I6" s="6"/>
      <c r="J6" s="6"/>
      <c r="K6" s="6"/>
      <c r="L6" s="6"/>
      <c r="M6" s="6"/>
      <c r="N6" s="6"/>
      <c r="O6" s="6"/>
      <c r="P6" s="6"/>
      <c r="Q6" s="6"/>
      <c r="R6" s="6"/>
      <c r="S6" s="6"/>
      <c r="T6" s="6"/>
      <c r="U6" s="6"/>
      <c r="V6" s="6"/>
      <c r="W6" s="6"/>
    </row>
    <row r="7" spans="1:23" x14ac:dyDescent="0.3">
      <c r="A7" s="6"/>
      <c r="B7" s="6"/>
      <c r="C7" s="6"/>
      <c r="D7" s="6"/>
      <c r="E7" s="6"/>
      <c r="F7" s="6"/>
      <c r="G7" s="6"/>
      <c r="H7" s="6"/>
      <c r="I7" s="6"/>
      <c r="J7" s="6"/>
      <c r="K7" s="6"/>
      <c r="L7" s="6"/>
      <c r="M7" s="6"/>
      <c r="N7" s="6"/>
      <c r="O7" s="6"/>
      <c r="P7" s="6"/>
      <c r="Q7" s="6"/>
      <c r="R7" s="6"/>
      <c r="S7" s="6"/>
      <c r="T7" s="6"/>
      <c r="U7" s="6"/>
      <c r="V7" s="6"/>
      <c r="W7" s="6"/>
    </row>
    <row r="8" spans="1:23" x14ac:dyDescent="0.3">
      <c r="A8" s="6"/>
      <c r="B8" s="6"/>
      <c r="C8" s="6"/>
      <c r="D8" s="6"/>
      <c r="E8" s="6"/>
      <c r="F8" s="6"/>
      <c r="G8" s="6"/>
      <c r="H8" s="6"/>
      <c r="I8" s="6"/>
      <c r="J8" s="6"/>
      <c r="K8" s="6"/>
      <c r="L8" s="6"/>
      <c r="M8" s="6"/>
      <c r="N8" s="6"/>
      <c r="O8" s="6"/>
      <c r="P8" s="6"/>
      <c r="Q8" s="6"/>
      <c r="R8" s="6"/>
      <c r="S8" s="6"/>
      <c r="T8" s="6"/>
      <c r="U8" s="6"/>
      <c r="V8" s="6"/>
      <c r="W8" s="6"/>
    </row>
    <row r="9" spans="1:23" x14ac:dyDescent="0.3">
      <c r="A9" s="6"/>
      <c r="B9" s="6"/>
      <c r="C9" s="6"/>
      <c r="D9" s="6"/>
      <c r="E9" s="6"/>
      <c r="F9" s="6"/>
      <c r="G9" s="6"/>
      <c r="H9" s="6"/>
      <c r="I9" s="6"/>
      <c r="J9" s="6"/>
      <c r="K9" s="6"/>
      <c r="L9" s="6"/>
      <c r="M9" s="6"/>
      <c r="N9" s="6"/>
      <c r="O9" s="6"/>
      <c r="P9" s="6"/>
      <c r="Q9" s="6"/>
      <c r="R9" s="6"/>
      <c r="S9" s="6"/>
      <c r="T9" s="6"/>
      <c r="U9" s="6"/>
      <c r="V9" s="6"/>
      <c r="W9" s="6"/>
    </row>
    <row r="10" spans="1:23" x14ac:dyDescent="0.3">
      <c r="A10" s="6"/>
      <c r="B10" s="6"/>
      <c r="C10" s="6"/>
      <c r="D10" s="6"/>
      <c r="E10" s="6"/>
      <c r="F10" s="6"/>
      <c r="G10" s="6"/>
      <c r="H10" s="6"/>
      <c r="I10" s="6"/>
      <c r="J10" s="6"/>
      <c r="K10" s="6"/>
      <c r="L10" s="6"/>
      <c r="M10" s="6"/>
      <c r="N10" s="6"/>
      <c r="O10" s="6"/>
      <c r="P10" s="6"/>
      <c r="Q10" s="6"/>
      <c r="R10" s="6"/>
      <c r="S10" s="6"/>
      <c r="T10" s="6"/>
      <c r="U10" s="6"/>
      <c r="V10" s="6"/>
      <c r="W10" s="6"/>
    </row>
    <row r="11" spans="1:23" x14ac:dyDescent="0.3">
      <c r="A11" s="6"/>
      <c r="B11" s="6"/>
      <c r="C11" s="6"/>
      <c r="D11" s="6"/>
      <c r="E11" s="6"/>
      <c r="F11" s="6"/>
      <c r="G11" s="6"/>
      <c r="H11" s="6"/>
      <c r="I11" s="6"/>
      <c r="J11" s="6"/>
      <c r="K11" s="6"/>
      <c r="L11" s="6"/>
      <c r="M11" s="6"/>
      <c r="N11" s="6"/>
      <c r="O11" s="6"/>
      <c r="P11" s="6"/>
      <c r="Q11" s="6"/>
      <c r="R11" s="6"/>
      <c r="S11" s="6"/>
      <c r="T11" s="6"/>
      <c r="U11" s="6"/>
      <c r="V11" s="6"/>
      <c r="W11" s="6"/>
    </row>
    <row r="12" spans="1:23" x14ac:dyDescent="0.3">
      <c r="A12" s="6"/>
      <c r="B12" s="6"/>
      <c r="C12" s="6"/>
      <c r="D12" s="6"/>
      <c r="E12" s="6"/>
      <c r="F12" s="6"/>
      <c r="G12" s="6"/>
      <c r="H12" s="6"/>
      <c r="I12" s="6"/>
      <c r="J12" s="6"/>
      <c r="K12" s="6"/>
      <c r="L12" s="6"/>
      <c r="M12" s="6"/>
      <c r="N12" s="6"/>
      <c r="O12" s="6"/>
      <c r="P12" s="6"/>
      <c r="Q12" s="6"/>
      <c r="R12" s="6"/>
      <c r="S12" s="6"/>
      <c r="T12" s="6"/>
      <c r="U12" s="6"/>
      <c r="V12" s="6"/>
      <c r="W12" s="6"/>
    </row>
    <row r="13" spans="1:23" x14ac:dyDescent="0.3">
      <c r="A13" s="6"/>
      <c r="B13" s="6"/>
      <c r="C13" s="6"/>
      <c r="D13" s="6"/>
      <c r="E13" s="6"/>
      <c r="F13" s="6"/>
      <c r="G13" s="6"/>
      <c r="H13" s="6"/>
      <c r="I13" s="6"/>
      <c r="J13" s="6"/>
      <c r="K13" s="6"/>
      <c r="L13" s="6"/>
      <c r="M13" s="6"/>
      <c r="N13" s="6"/>
      <c r="O13" s="6"/>
      <c r="P13" s="6"/>
      <c r="Q13" s="6"/>
      <c r="R13" s="6"/>
      <c r="S13" s="6"/>
      <c r="T13" s="6"/>
      <c r="U13" s="6"/>
      <c r="V13" s="6"/>
      <c r="W13" s="6"/>
    </row>
    <row r="14" spans="1:23" x14ac:dyDescent="0.3">
      <c r="A14" s="6"/>
      <c r="B14" s="6"/>
      <c r="C14" s="6"/>
      <c r="D14" s="6"/>
      <c r="E14" s="6"/>
      <c r="F14" s="6"/>
      <c r="G14" s="6"/>
      <c r="H14" s="6"/>
      <c r="I14" s="6"/>
      <c r="J14" s="6"/>
      <c r="K14" s="6"/>
      <c r="L14" s="6"/>
      <c r="M14" s="6"/>
      <c r="N14" s="6"/>
      <c r="O14" s="6"/>
      <c r="P14" s="6"/>
      <c r="Q14" s="6"/>
      <c r="R14" s="6"/>
      <c r="S14" s="6"/>
      <c r="T14" s="6"/>
      <c r="U14" s="6"/>
      <c r="V14" s="6"/>
      <c r="W14" s="6"/>
    </row>
    <row r="15" spans="1:23" x14ac:dyDescent="0.3">
      <c r="A15" s="6"/>
      <c r="B15" s="6"/>
      <c r="C15" s="6"/>
      <c r="D15" s="6"/>
      <c r="E15" s="6"/>
      <c r="F15" s="6"/>
      <c r="G15" s="6"/>
      <c r="H15" s="6"/>
      <c r="I15" s="6"/>
      <c r="J15" s="6"/>
      <c r="K15" s="6"/>
      <c r="L15" s="6"/>
      <c r="M15" s="6"/>
      <c r="N15" s="6"/>
      <c r="O15" s="6"/>
      <c r="P15" s="6"/>
      <c r="Q15" s="6"/>
      <c r="R15" s="6"/>
      <c r="S15" s="6"/>
      <c r="T15" s="6"/>
      <c r="U15" s="6"/>
      <c r="V15" s="6"/>
      <c r="W15" s="6"/>
    </row>
    <row r="16" spans="1:23" x14ac:dyDescent="0.3">
      <c r="A16" s="6"/>
      <c r="B16" s="6"/>
      <c r="C16" s="6"/>
      <c r="D16" s="6"/>
      <c r="E16" s="6"/>
      <c r="F16" s="6"/>
      <c r="G16" s="6"/>
      <c r="H16" s="6"/>
      <c r="I16" s="6"/>
      <c r="J16" s="6"/>
      <c r="K16" s="6"/>
      <c r="L16" s="6"/>
      <c r="M16" s="6"/>
      <c r="N16" s="6"/>
      <c r="O16" s="6"/>
      <c r="P16" s="6"/>
      <c r="Q16" s="6"/>
      <c r="R16" s="6"/>
      <c r="S16" s="6"/>
      <c r="T16" s="6"/>
      <c r="U16" s="6"/>
      <c r="V16" s="6"/>
      <c r="W16" s="6"/>
    </row>
    <row r="17" spans="1:23" x14ac:dyDescent="0.3">
      <c r="A17" s="6"/>
      <c r="B17" s="6"/>
      <c r="C17" s="6"/>
      <c r="D17" s="6"/>
      <c r="E17" s="6"/>
      <c r="F17" s="6"/>
      <c r="G17" s="6"/>
      <c r="H17" s="6"/>
      <c r="I17" s="6"/>
      <c r="J17" s="6"/>
      <c r="K17" s="6"/>
      <c r="L17" s="6"/>
      <c r="M17" s="6"/>
      <c r="N17" s="6"/>
      <c r="O17" s="6"/>
      <c r="P17" s="6"/>
      <c r="Q17" s="6"/>
      <c r="R17" s="6"/>
      <c r="S17" s="6"/>
      <c r="T17" s="6"/>
      <c r="U17" s="6"/>
      <c r="V17" s="6"/>
      <c r="W17" s="6"/>
    </row>
    <row r="18" spans="1:23" x14ac:dyDescent="0.3">
      <c r="A18" s="6"/>
      <c r="B18" s="6"/>
      <c r="C18" s="6"/>
      <c r="D18" s="6"/>
      <c r="E18" s="6"/>
      <c r="F18" s="6"/>
      <c r="G18" s="6"/>
      <c r="H18" s="6"/>
      <c r="I18" s="6"/>
      <c r="J18" s="6"/>
      <c r="K18" s="6"/>
      <c r="L18" s="6"/>
      <c r="M18" s="6"/>
      <c r="N18" s="6"/>
      <c r="O18" s="6"/>
      <c r="P18" s="6"/>
      <c r="Q18" s="6"/>
      <c r="R18" s="6"/>
      <c r="S18" s="6"/>
      <c r="T18" s="6"/>
      <c r="U18" s="6"/>
      <c r="V18" s="6"/>
      <c r="W18" s="6"/>
    </row>
    <row r="19" spans="1:23" x14ac:dyDescent="0.3">
      <c r="A19" s="6"/>
      <c r="B19" s="6"/>
      <c r="C19" s="6"/>
      <c r="D19" s="6"/>
      <c r="E19" s="6"/>
      <c r="F19" s="6"/>
      <c r="G19" s="6"/>
      <c r="H19" s="6"/>
      <c r="I19" s="6"/>
      <c r="J19" s="6"/>
      <c r="K19" s="6"/>
      <c r="L19" s="6"/>
      <c r="M19" s="6"/>
      <c r="N19" s="6"/>
      <c r="O19" s="6"/>
      <c r="P19" s="6"/>
      <c r="Q19" s="6"/>
      <c r="R19" s="6"/>
      <c r="S19" s="6"/>
      <c r="T19" s="6"/>
      <c r="U19" s="6"/>
      <c r="V19" s="6"/>
      <c r="W19" s="6"/>
    </row>
    <row r="20" spans="1:23" x14ac:dyDescent="0.3">
      <c r="A20" s="6"/>
      <c r="B20" s="6"/>
      <c r="C20" s="6"/>
      <c r="D20" s="6"/>
      <c r="E20" s="6"/>
      <c r="F20" s="6"/>
      <c r="G20" s="6"/>
      <c r="H20" s="6"/>
      <c r="I20" s="6"/>
      <c r="J20" s="6"/>
      <c r="K20" s="6"/>
      <c r="L20" s="6"/>
      <c r="M20" s="6"/>
      <c r="N20" s="6"/>
      <c r="O20" s="6"/>
      <c r="P20" s="6"/>
      <c r="Q20" s="6"/>
      <c r="R20" s="6"/>
      <c r="S20" s="6"/>
      <c r="T20" s="6"/>
      <c r="U20" s="6"/>
      <c r="V20" s="6"/>
      <c r="W20" s="6"/>
    </row>
    <row r="21" spans="1:23" x14ac:dyDescent="0.3">
      <c r="A21" s="6"/>
      <c r="B21" s="6"/>
      <c r="C21" s="6"/>
      <c r="D21" s="6"/>
      <c r="E21" s="6"/>
      <c r="F21" s="6"/>
      <c r="G21" s="6"/>
      <c r="H21" s="6"/>
      <c r="I21" s="6"/>
      <c r="J21" s="6"/>
      <c r="K21" s="6"/>
      <c r="L21" s="6"/>
      <c r="M21" s="6"/>
      <c r="N21" s="6"/>
      <c r="O21" s="6"/>
      <c r="P21" s="6"/>
      <c r="Q21" s="6"/>
      <c r="R21" s="6"/>
      <c r="S21" s="6"/>
      <c r="T21" s="6"/>
      <c r="U21" s="6"/>
      <c r="V21" s="6"/>
      <c r="W21" s="6"/>
    </row>
    <row r="22" spans="1:23" x14ac:dyDescent="0.3">
      <c r="A22" s="6"/>
      <c r="B22" s="6"/>
      <c r="C22" s="6"/>
      <c r="D22" s="6"/>
      <c r="E22" s="6"/>
      <c r="F22" s="6"/>
      <c r="G22" s="6"/>
      <c r="H22" s="6"/>
      <c r="I22" s="6"/>
      <c r="J22" s="6"/>
      <c r="K22" s="6"/>
      <c r="L22" s="6"/>
      <c r="M22" s="6"/>
      <c r="N22" s="6"/>
      <c r="O22" s="6"/>
      <c r="P22" s="6"/>
      <c r="Q22" s="6"/>
      <c r="R22" s="6"/>
      <c r="S22" s="6"/>
      <c r="T22" s="6"/>
      <c r="U22" s="6"/>
      <c r="V22" s="6"/>
      <c r="W22" s="6"/>
    </row>
    <row r="23" spans="1:23" x14ac:dyDescent="0.3">
      <c r="A23" s="6"/>
      <c r="B23" s="6"/>
      <c r="C23" s="6"/>
      <c r="D23" s="6"/>
      <c r="E23" s="6"/>
      <c r="F23" s="6"/>
      <c r="G23" s="6"/>
      <c r="H23" s="6"/>
      <c r="I23" s="6"/>
      <c r="J23" s="6"/>
      <c r="K23" s="6"/>
      <c r="L23" s="6"/>
      <c r="M23" s="6"/>
      <c r="N23" s="6"/>
      <c r="O23" s="6"/>
      <c r="P23" s="6"/>
      <c r="Q23" s="6"/>
      <c r="R23" s="6"/>
      <c r="S23" s="6"/>
      <c r="T23" s="6"/>
      <c r="U23" s="6"/>
      <c r="V23" s="6"/>
      <c r="W23" s="6"/>
    </row>
    <row r="24" spans="1:23" x14ac:dyDescent="0.3">
      <c r="A24" s="6"/>
      <c r="B24" s="6"/>
      <c r="C24" s="6"/>
      <c r="D24" s="6"/>
      <c r="E24" s="6"/>
      <c r="F24" s="6"/>
      <c r="G24" s="6"/>
      <c r="H24" s="6"/>
      <c r="I24" s="6"/>
      <c r="J24" s="6"/>
      <c r="K24" s="6"/>
      <c r="L24" s="6"/>
      <c r="M24" s="6"/>
      <c r="N24" s="6"/>
      <c r="O24" s="6"/>
      <c r="P24" s="6"/>
      <c r="Q24" s="6"/>
      <c r="R24" s="6"/>
      <c r="S24" s="6"/>
      <c r="T24" s="6"/>
      <c r="U24" s="6"/>
      <c r="V24" s="6"/>
      <c r="W24" s="6"/>
    </row>
    <row r="25" spans="1:23" x14ac:dyDescent="0.3">
      <c r="A25" s="6"/>
      <c r="B25" s="6"/>
      <c r="C25" s="6"/>
      <c r="D25" s="6"/>
      <c r="E25" s="6"/>
      <c r="F25" s="6"/>
      <c r="G25" s="6"/>
      <c r="H25" s="6"/>
      <c r="I25" s="6"/>
      <c r="J25" s="6"/>
      <c r="K25" s="6"/>
      <c r="L25" s="6"/>
      <c r="M25" s="6"/>
      <c r="N25" s="6"/>
      <c r="O25" s="6"/>
      <c r="P25" s="6"/>
      <c r="Q25" s="6"/>
      <c r="R25" s="6"/>
      <c r="S25" s="6"/>
      <c r="T25" s="6"/>
      <c r="U25" s="6"/>
      <c r="V25" s="6"/>
      <c r="W25" s="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63BD5B2F-59F7-4238-B066-8AF4A077280D}">
  <ds:schemaRefs>
    <ds:schemaRef ds:uri="http://schemas.microsoft.com/DataMashup"/>
  </ds:schemaRefs>
</ds:datastoreItem>
</file>

<file path=customXml/itemProps2.xml><?xml version="1.0" encoding="utf-8"?>
<ds:datastoreItem xmlns:ds="http://schemas.openxmlformats.org/officeDocument/2006/customXml" ds:itemID="{8651638B-A1AE-4628-B70A-B4ABCA86B4EB}">
  <ds:schemaRefs/>
</ds:datastoreItem>
</file>

<file path=customXml/itemProps3.xml><?xml version="1.0" encoding="utf-8"?>
<ds:datastoreItem xmlns:ds="http://schemas.openxmlformats.org/officeDocument/2006/customXml" ds:itemID="{D6550442-57F8-4B65-8E9F-1692ED8AEB8E}">
  <ds:schemaRefs/>
</ds:datastoreItem>
</file>

<file path=customXml/itemProps4.xml><?xml version="1.0" encoding="utf-8"?>
<ds:datastoreItem xmlns:ds="http://schemas.openxmlformats.org/officeDocument/2006/customXml" ds:itemID="{E7EEDE9C-1973-4D54-9626-43BDE66949D6}">
  <ds:schemaRefs/>
</ds:datastoreItem>
</file>

<file path=customXml/itemProps5.xml><?xml version="1.0" encoding="utf-8"?>
<ds:datastoreItem xmlns:ds="http://schemas.openxmlformats.org/officeDocument/2006/customXml" ds:itemID="{2EBDA299-9A12-4E96-ACA0-687BF1357EFC}">
  <ds:schemaRefs/>
</ds:datastoreItem>
</file>

<file path=customXml/itemProps6.xml><?xml version="1.0" encoding="utf-8"?>
<ds:datastoreItem xmlns:ds="http://schemas.openxmlformats.org/officeDocument/2006/customXml" ds:itemID="{A21EEDF0-DEED-4355-8610-5A1A9ED746BF}">
  <ds:schemaRefs/>
</ds:datastoreItem>
</file>

<file path=customXml/itemProps7.xml><?xml version="1.0" encoding="utf-8"?>
<ds:datastoreItem xmlns:ds="http://schemas.openxmlformats.org/officeDocument/2006/customXml" ds:itemID="{9B46261D-7683-46BE-9DED-F9A94F4A975F}">
  <ds:schemaRefs/>
</ds:datastoreItem>
</file>

<file path=customXml/itemProps8.xml><?xml version="1.0" encoding="utf-8"?>
<ds:datastoreItem xmlns:ds="http://schemas.openxmlformats.org/officeDocument/2006/customXml" ds:itemID="{F413BC7C-1D5B-46E1-8995-F4CEA48FC93D}">
  <ds:schemaRefs/>
</ds:datastoreItem>
</file>

<file path=customXml/itemProps9.xml><?xml version="1.0" encoding="utf-8"?>
<ds:datastoreItem xmlns:ds="http://schemas.openxmlformats.org/officeDocument/2006/customXml" ds:itemID="{CD294F0B-7593-4229-833C-A8416A6A3D77}">
  <ds:schemaRefs/>
</ds:datastoreItem>
</file>

<file path=customXml/itemProps10.xml><?xml version="1.0" encoding="utf-8"?>
<ds:datastoreItem xmlns:ds="http://schemas.openxmlformats.org/officeDocument/2006/customXml" ds:itemID="{68223494-763C-4102-A098-66B3FBD82B54}">
  <ds:schemaRefs/>
</ds:datastoreItem>
</file>

<file path=customXml/itemProps11.xml><?xml version="1.0" encoding="utf-8"?>
<ds:datastoreItem xmlns:ds="http://schemas.openxmlformats.org/officeDocument/2006/customXml" ds:itemID="{9D02803B-9808-4736-9744-50CD18504D59}">
  <ds:schemaRefs/>
</ds:datastoreItem>
</file>

<file path=customXml/itemProps12.xml><?xml version="1.0" encoding="utf-8"?>
<ds:datastoreItem xmlns:ds="http://schemas.openxmlformats.org/officeDocument/2006/customXml" ds:itemID="{0D3E97D0-B9DC-446D-9085-845EE343CC97}">
  <ds:schemaRefs/>
</ds:datastoreItem>
</file>

<file path=customXml/itemProps13.xml><?xml version="1.0" encoding="utf-8"?>
<ds:datastoreItem xmlns:ds="http://schemas.openxmlformats.org/officeDocument/2006/customXml" ds:itemID="{08B18C72-6409-4D9C-8EA5-46F5413B8F1D}">
  <ds:schemaRefs/>
</ds:datastoreItem>
</file>

<file path=customXml/itemProps14.xml><?xml version="1.0" encoding="utf-8"?>
<ds:datastoreItem xmlns:ds="http://schemas.openxmlformats.org/officeDocument/2006/customXml" ds:itemID="{A9824687-3A2F-4DF0-9472-26019F071945}">
  <ds:schemaRefs/>
</ds:datastoreItem>
</file>

<file path=customXml/itemProps15.xml><?xml version="1.0" encoding="utf-8"?>
<ds:datastoreItem xmlns:ds="http://schemas.openxmlformats.org/officeDocument/2006/customXml" ds:itemID="{48F002A6-1644-4F12-8580-93AC77CDC460}">
  <ds:schemaRefs/>
</ds:datastoreItem>
</file>

<file path=customXml/itemProps16.xml><?xml version="1.0" encoding="utf-8"?>
<ds:datastoreItem xmlns:ds="http://schemas.openxmlformats.org/officeDocument/2006/customXml" ds:itemID="{8DF2A21D-394B-4F0D-B1EE-EFF28CBC9C50}">
  <ds:schemaRefs/>
</ds:datastoreItem>
</file>

<file path=customXml/itemProps17.xml><?xml version="1.0" encoding="utf-8"?>
<ds:datastoreItem xmlns:ds="http://schemas.openxmlformats.org/officeDocument/2006/customXml" ds:itemID="{ADF3DBEB-8C86-4191-A022-2C2914A34841}">
  <ds:schemaRefs/>
</ds:datastoreItem>
</file>

<file path=customXml/itemProps18.xml><?xml version="1.0" encoding="utf-8"?>
<ds:datastoreItem xmlns:ds="http://schemas.openxmlformats.org/officeDocument/2006/customXml" ds:itemID="{18E0D418-9A63-4445-872B-451AC3A73ADD}">
  <ds:schemaRefs/>
</ds:datastoreItem>
</file>

<file path=customXml/itemProps19.xml><?xml version="1.0" encoding="utf-8"?>
<ds:datastoreItem xmlns:ds="http://schemas.openxmlformats.org/officeDocument/2006/customXml" ds:itemID="{E719B3BB-A93B-419A-84FC-CB8CB8C550BC}">
  <ds:schemaRefs/>
</ds:datastoreItem>
</file>

<file path=customXml/itemProps20.xml><?xml version="1.0" encoding="utf-8"?>
<ds:datastoreItem xmlns:ds="http://schemas.openxmlformats.org/officeDocument/2006/customXml" ds:itemID="{9BFFAAE2-055F-464E-9A1C-04BACEB6A6AA}">
  <ds:schemaRefs/>
</ds:datastoreItem>
</file>

<file path=customXml/itemProps21.xml><?xml version="1.0" encoding="utf-8"?>
<ds:datastoreItem xmlns:ds="http://schemas.openxmlformats.org/officeDocument/2006/customXml" ds:itemID="{75AE5F67-BCED-4D81-97B0-3252F7AA8A82}">
  <ds:schemaRefs/>
</ds:datastoreItem>
</file>

<file path=customXml/itemProps22.xml><?xml version="1.0" encoding="utf-8"?>
<ds:datastoreItem xmlns:ds="http://schemas.openxmlformats.org/officeDocument/2006/customXml" ds:itemID="{E8F28764-73B6-4AB6-BC89-FCD8DF1B002E}">
  <ds:schemaRefs/>
</ds:datastoreItem>
</file>

<file path=customXml/itemProps23.xml><?xml version="1.0" encoding="utf-8"?>
<ds:datastoreItem xmlns:ds="http://schemas.openxmlformats.org/officeDocument/2006/customXml" ds:itemID="{4E98D485-8FEA-4255-ADFF-FC4179C772CE}">
  <ds:schemaRefs/>
</ds:datastoreItem>
</file>

<file path=customXml/itemProps24.xml><?xml version="1.0" encoding="utf-8"?>
<ds:datastoreItem xmlns:ds="http://schemas.openxmlformats.org/officeDocument/2006/customXml" ds:itemID="{9AB560C3-7634-492A-B519-3ABA3F04B6E5}">
  <ds:schemaRefs/>
</ds:datastoreItem>
</file>

<file path=customXml/itemProps25.xml><?xml version="1.0" encoding="utf-8"?>
<ds:datastoreItem xmlns:ds="http://schemas.openxmlformats.org/officeDocument/2006/customXml" ds:itemID="{5C75A3FB-7731-4874-8D78-7C9C03B5B77B}">
  <ds:schemaRefs/>
</ds:datastoreItem>
</file>

<file path=customXml/itemProps26.xml><?xml version="1.0" encoding="utf-8"?>
<ds:datastoreItem xmlns:ds="http://schemas.openxmlformats.org/officeDocument/2006/customXml" ds:itemID="{CAAC3126-D7F4-4EB4-A866-656004A78A38}">
  <ds:schemaRefs/>
</ds:datastoreItem>
</file>

<file path=customXml/itemProps27.xml><?xml version="1.0" encoding="utf-8"?>
<ds:datastoreItem xmlns:ds="http://schemas.openxmlformats.org/officeDocument/2006/customXml" ds:itemID="{758DC125-7D66-4428-8C11-06041C15DB38}">
  <ds:schemaRefs/>
</ds:datastoreItem>
</file>

<file path=customXml/itemProps28.xml><?xml version="1.0" encoding="utf-8"?>
<ds:datastoreItem xmlns:ds="http://schemas.openxmlformats.org/officeDocument/2006/customXml" ds:itemID="{2DB57704-2D47-47F5-8435-41E09CF38BF9}">
  <ds:schemaRefs/>
</ds:datastoreItem>
</file>

<file path=customXml/itemProps29.xml><?xml version="1.0" encoding="utf-8"?>
<ds:datastoreItem xmlns:ds="http://schemas.openxmlformats.org/officeDocument/2006/customXml" ds:itemID="{EEC41248-717B-4FAB-A9D1-D525A28A7890}">
  <ds:schemaRefs/>
</ds:datastoreItem>
</file>

<file path=customXml/itemProps30.xml><?xml version="1.0" encoding="utf-8"?>
<ds:datastoreItem xmlns:ds="http://schemas.openxmlformats.org/officeDocument/2006/customXml" ds:itemID="{131DBDDC-CF05-43F9-8236-91774890C543}">
  <ds:schemaRefs/>
</ds:datastoreItem>
</file>

<file path=customXml/itemProps31.xml><?xml version="1.0" encoding="utf-8"?>
<ds:datastoreItem xmlns:ds="http://schemas.openxmlformats.org/officeDocument/2006/customXml" ds:itemID="{E202F118-FF1B-4477-A9AE-8FBF776000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Patient Number</vt:lpstr>
      <vt:lpstr>Average WaitTime Trend Per Day</vt:lpstr>
      <vt:lpstr>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2026-08-25T07:00:45Z</dcterms:modified>
</cp:coreProperties>
</file>